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X:\COMMUN DEP\GEODP\ALIAS GEODP\fichiers envoi DSF 2023\Voirie Temporaire 2023\Tableaux\"/>
    </mc:Choice>
  </mc:AlternateContent>
  <xr:revisionPtr revIDLastSave="0" documentId="13_ncr:1_{3087B08A-71F3-46BD-AA30-9ABA659EA25D}" xr6:coauthVersionLast="47" xr6:coauthVersionMax="47" xr10:uidLastSave="{00000000-0000-0000-0000-000000000000}"/>
  <bookViews>
    <workbookView xWindow="28680" yWindow="-120" windowWidth="29040" windowHeight="15720" xr2:uid="{119FEBDD-3F84-4349-A7DE-DEEB8F1F628B}"/>
  </bookViews>
  <sheets>
    <sheet name="FILIEN" sheetId="2" r:id="rId1"/>
    <sheet name="PARAMETRES" sheetId="3" r:id="rId2"/>
  </sheets>
  <definedNames>
    <definedName name="_xleta.LEFT" hidden="1" xlm="1">#NAME?</definedName>
    <definedName name="DonnéesExternes_1" localSheetId="0" hidden="1">FILIEN!$A$2:$Z$54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2" l="1"/>
  <c r="H8" i="2"/>
  <c r="K8" i="2"/>
  <c r="D9" i="2"/>
  <c r="H9" i="2"/>
  <c r="K9" i="2"/>
  <c r="D10" i="2"/>
  <c r="H10" i="2"/>
  <c r="K10" i="2"/>
  <c r="D13" i="2"/>
  <c r="H13" i="2"/>
  <c r="K13" i="2"/>
  <c r="D14" i="2"/>
  <c r="H14" i="2"/>
  <c r="K14" i="2"/>
  <c r="D16" i="2"/>
  <c r="H16" i="2"/>
  <c r="K16" i="2"/>
  <c r="D18" i="2"/>
  <c r="H18" i="2"/>
  <c r="K18" i="2"/>
  <c r="D21" i="2"/>
  <c r="H21" i="2"/>
  <c r="K21" i="2"/>
  <c r="K22" i="2"/>
  <c r="D23" i="2"/>
  <c r="H23" i="2"/>
  <c r="K23" i="2"/>
  <c r="D24" i="2"/>
  <c r="H24" i="2"/>
  <c r="K24" i="2"/>
  <c r="D25" i="2"/>
  <c r="H25" i="2"/>
  <c r="K25" i="2"/>
  <c r="D26" i="2"/>
  <c r="H26" i="2"/>
  <c r="K26" i="2"/>
  <c r="K27" i="2"/>
  <c r="D28" i="2"/>
  <c r="H28" i="2"/>
  <c r="K28" i="2"/>
  <c r="D33" i="2"/>
  <c r="H33" i="2"/>
  <c r="K33" i="2"/>
  <c r="D35" i="2"/>
  <c r="H35" i="2"/>
  <c r="K35" i="2"/>
  <c r="D37" i="2"/>
  <c r="H37" i="2"/>
  <c r="K37" i="2"/>
  <c r="D39" i="2"/>
  <c r="H39" i="2"/>
  <c r="K39" i="2"/>
  <c r="D41" i="2"/>
  <c r="H41" i="2"/>
  <c r="K41" i="2"/>
  <c r="D46" i="2"/>
  <c r="H46" i="2"/>
  <c r="K46" i="2"/>
  <c r="D47" i="2"/>
  <c r="H47" i="2"/>
  <c r="K47" i="2"/>
  <c r="D49" i="2"/>
  <c r="H49" i="2"/>
  <c r="K49" i="2"/>
  <c r="D50" i="2"/>
  <c r="H50" i="2"/>
  <c r="K50" i="2"/>
  <c r="D51" i="2"/>
  <c r="H51" i="2"/>
  <c r="K51" i="2"/>
  <c r="D52" i="2"/>
  <c r="H52" i="2"/>
  <c r="K52" i="2"/>
  <c r="AH4" i="2"/>
  <c r="AI4" i="2"/>
  <c r="AH8" i="2"/>
  <c r="AI8" i="2"/>
  <c r="AH9" i="2"/>
  <c r="AI9" i="2"/>
  <c r="AH10" i="2"/>
  <c r="AI10" i="2"/>
  <c r="AH13" i="2"/>
  <c r="AI13" i="2"/>
  <c r="AH14" i="2"/>
  <c r="AI14" i="2"/>
  <c r="AH16" i="2"/>
  <c r="AI16" i="2"/>
  <c r="AH18" i="2"/>
  <c r="AI18" i="2"/>
  <c r="AH21" i="2"/>
  <c r="AI21" i="2"/>
  <c r="AH23" i="2"/>
  <c r="AI23" i="2"/>
  <c r="AH24" i="2"/>
  <c r="AI24" i="2"/>
  <c r="AH25" i="2"/>
  <c r="AI25" i="2"/>
  <c r="AH26" i="2"/>
  <c r="AI26" i="2"/>
  <c r="AH28" i="2"/>
  <c r="AI28" i="2"/>
  <c r="AH33" i="2"/>
  <c r="AI33" i="2"/>
  <c r="AH35" i="2"/>
  <c r="AI35" i="2"/>
  <c r="AH37" i="2"/>
  <c r="AI37" i="2"/>
  <c r="AH39" i="2"/>
  <c r="AI39" i="2"/>
  <c r="AH41" i="2"/>
  <c r="AI41" i="2"/>
  <c r="AH46" i="2"/>
  <c r="AI46" i="2"/>
  <c r="AH47" i="2"/>
  <c r="AI47" i="2"/>
  <c r="AH49" i="2"/>
  <c r="AI49" i="2"/>
  <c r="AH50" i="2"/>
  <c r="AI50" i="2"/>
  <c r="AH51" i="2"/>
  <c r="AI51" i="2"/>
  <c r="AH52" i="2"/>
  <c r="AI52" i="2"/>
  <c r="Z38" i="2" l="1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D4" i="2" l="1"/>
  <c r="Z37" i="2"/>
  <c r="Z36" i="2"/>
  <c r="Z12" i="2" l="1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9" i="2" l="1"/>
  <c r="Z7" i="2"/>
  <c r="Z8" i="2"/>
  <c r="Z10" i="2"/>
  <c r="Z11" i="2"/>
  <c r="Z6" i="2" l="1"/>
  <c r="Z5" i="2"/>
  <c r="Z4" i="2"/>
  <c r="K4" i="2"/>
  <c r="H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tc={64EAFD3A-CA51-4119-B92A-45A36BFDA910}</author>
    <author>tc={5F34B359-FB9F-41F1-A612-DD2572AE0DF4}</author>
    <author>tc={BD40F0E6-A46B-415A-A0BD-E319461D57A9}</author>
    <author>tc={0E6C25EA-B703-4290-853C-F784ABA1CF6C}</author>
    <author>tc={6CEBD0D1-3B65-43D7-A501-6F16173B4500}</author>
    <author>tc={1EE4D928-DF27-44C5-B7A4-BA876A0E762C}</author>
    <author>tc={7260168B-11B5-4CA2-B7B8-E906B813787C}</author>
    <author>tc={F7FAEA91-5FD8-4A7B-820D-AF2EDCA57DA1}</author>
    <author>tc={A4D1D09F-2AB6-4E59-B258-434F580C0685}</author>
    <author>tc={002C0A78-E93A-4DD1-8D42-BA21F2C81BC4}</author>
    <author>tc={5279EF4A-86F9-4166-B320-224B27558D4E}</author>
    <author>tc={D5E596A0-DF91-40E7-97FA-0D07262D0ACB}</author>
    <author>tc={85A1A784-96DD-48AD-8A0F-B587C7DB129A}</author>
    <author>tc={F216023E-C15D-412C-A2C2-FF2179E48E68}</author>
    <author>tc={CFA5B1C3-DCC1-4EF3-AD08-6DBA4FEE5767}</author>
    <author>tc={15B74527-E3E5-4C56-A0DA-74B6777F10D7}</author>
    <author>tc={CDA91434-3248-4555-8172-AAA6EDE2EEAF}</author>
    <author>tc={96DA7B40-5BE6-476B-9ED0-D7186441F5AB}</author>
    <author>tc={128BF051-C92F-4816-8E2E-BD9F83FFABE2}</author>
    <author>tc={5094FA0C-2043-4416-99B7-429936E1BE5B}</author>
    <author>tc={E934C308-7138-4AEC-89E1-CABF909FE620}</author>
    <author>tc={E511F98E-7419-487D-BDCD-DD2C42082A97}</author>
    <author>tc={474F9B72-C503-47EF-939D-667614E71BD1}</author>
    <author>tc={D27630D4-328C-4BD9-902E-F3573E163819}</author>
    <author>tc={94C402DF-AFDF-47BA-ACB7-6C89AB0ACF7B}</author>
    <author>tc={7F94F5C3-2CBD-4D40-9778-6C5115B8C062}</author>
    <author>tc={207223C4-8568-4EAE-BFA2-A06710FEB3E4}</author>
    <author>tc={58F8B3EE-AC0D-446E-9C7E-619B0C396D21}</author>
    <author>tc={9FDAE75B-786E-441D-9B19-366E53D19C15}</author>
    <author>tc={944BDA33-C165-426E-8D8F-9BE124BEF9F7}</author>
    <author>tc={EDA47017-E735-4730-B574-6E77C5125A0F}</author>
    <author>tc={A8557374-2BBD-417E-B3DD-BADB04A7B07E}</author>
    <author>tc={5AD9A250-E753-4D2B-A6C1-87D09540490D}</author>
  </authors>
  <commentList>
    <comment ref="A2" authorId="0" shapeId="0" xr:uid="{64EAFD3A-CA51-4119-B92A-45A36BFDA910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Ne doit pas exister déjà dans la table mouvement pour le même budget/exercice, sauf si l'information /10/ est positionnée à "O" </t>
      </text>
    </comment>
    <comment ref="B2" authorId="1" shapeId="0" xr:uid="{5F34B359-FB9F-41F1-A612-DD2572AE0DF4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"D" = Dépense ou mandat (par défaut) "R" = Recette </t>
      </text>
    </comment>
    <comment ref="C2" authorId="2" shapeId="0" xr:uid="{BD40F0E6-A46B-415A-A0BD-E319461D57A9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correspondre à un enregistrement dans la table Tiers </t>
      </text>
    </comment>
    <comment ref="D2" authorId="3" shapeId="0" xr:uid="{0E6C25EA-B703-4290-853C-F784ABA1CF6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Libellé du mouvement</t>
      </text>
    </comment>
    <comment ref="E2" authorId="4" shapeId="0" xr:uid="{6CEBD0D1-3B65-43D7-A501-6F16173B4500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exister dans la table Calendrier. Vérifier que le calendrier utilisé n'est pas en contradiction avec le code avancement indiqué dans l'enregistrement En-tête. Exemple : refuser le mouvement si le code avancement = 3 et si le calendrier est type Mandatement direct 
</t>
      </text>
    </comment>
    <comment ref="F2" authorId="5" shapeId="0" xr:uid="{1EE4D928-DF27-44C5-B7A4-BA876A0E762C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F" = Francs/"E" = Euros (par défaut = "F") </t>
      </text>
    </comment>
    <comment ref="G2" authorId="6" shapeId="0" xr:uid="{7260168B-11B5-4CA2-B7B8-E906B813787C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"O" = ce mouvement existe déjà "N" = il s'agit d'un nouveau mouvement (par défaut) </t>
      </text>
    </comment>
    <comment ref="H2" authorId="7" shapeId="0" xr:uid="{F7FAEA91-5FD8-4A7B-820D-AF2EDCA57DA1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Peut correspondre ou non à un enregistrement dans la table prebordero </t>
      </text>
    </comment>
    <comment ref="I2" authorId="8" shapeId="0" xr:uid="{A4D1D09F-2AB6-4E59-B258-434F580C0685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"C" = Mandat ou recette en création (par défaut "R" = Mandat ou recette en réduction </t>
      </text>
    </comment>
    <comment ref="J2" authorId="9" shapeId="0" xr:uid="{002C0A78-E93A-4DD1-8D42-BA21F2C81BC4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Ne doit pas déjà exister dans la table mandat </t>
      </text>
    </comment>
    <comment ref="K2" authorId="10" shapeId="0" xr:uid="{5279EF4A-86F9-4166-B320-224B27558D4E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Objet 1 du mandat (mémorisé dans la table mandobjet) Correspond à la zone Objet dans e-Liquidation </t>
      </text>
    </comment>
    <comment ref="L2" authorId="11" shapeId="0" xr:uid="{D5E596A0-DF91-40E7-97FA-0D07262D0ACB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Objet 2 du mandat (mémorisé dans la table mandobjet) Correspond à la zone Complément dans e-Liquidation </t>
      </text>
    </comment>
    <comment ref="M2" authorId="12" shapeId="0" xr:uid="{85A1A784-96DD-48AD-8A0F-B587C7DB129A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Objet 3 du mandat (mémorisé dans la table mandobjet) </t>
      </text>
    </comment>
    <comment ref="N2" authorId="13" shapeId="0" xr:uid="{F216023E-C15D-412C-A2C2-FF2179E48E68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Objet 4 du mandat (mémorisé dans la table mandobjet) </t>
      </text>
    </comment>
    <comment ref="O2" authorId="14" shapeId="0" xr:uid="{CFA5B1C3-DCC1-4EF3-AD08-6DBA4FEE5767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Objet 5 du mandat (mémorisé dans la table mandobjet) </t>
      </text>
    </comment>
    <comment ref="P2" authorId="15" shapeId="0" xr:uid="{15B74527-E3E5-4C56-A0DA-74B6777F10D7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Identifiant de la demande de paiement envoyée à la collectivité destinatrice A renseigner pour les ASAP liés à un tiers de la sphère publique Autorisée seulement si la balise /02/ type mouvement = "R" 
</t>
      </text>
    </comment>
    <comment ref="Q2" authorId="16" shapeId="0" xr:uid="{CDA91434-3248-4555-8172-AAA6EDE2EEAF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Valeur P ou G ou R La présence de cette information permet d'indiquer qu'il s'agit d'un ASAP dématérialisé. Elle permet aussi d'indiquer le type de détail : P pour Prestation sur Période, G pour Prestation Globale ou R pour Remise. Les informations /500/ à /509/ sont autorisées seulement si la balise /02/ type mouvement = "R" </t>
      </text>
    </comment>
    <comment ref="R2" authorId="17" shapeId="0" xr:uid="{96DA7B40-5BE6-476B-9ED0-D7186441F5AB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Obligatoire si l'information /500/ existe </t>
      </text>
    </comment>
    <comment ref="S2" authorId="18" shapeId="0" xr:uid="{128BF051-C92F-4816-8E2E-BD9F83FFABE2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Obligatoire si l'information /500/ existe </t>
      </text>
    </comment>
    <comment ref="T2" authorId="19" shapeId="0" xr:uid="{5094FA0C-2043-4416-99B7-429936E1BE5B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Date de début si P ou date de prestation si G ou R au format JJMMAAAA Obligatoire si l'information /500/ existe </t>
      </text>
    </comment>
    <comment ref="U2" authorId="20" shapeId="0" xr:uid="{E934C308-7138-4AEC-89E1-CABF909FE620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Date de fin Obligatoire si l'information /500/ = P Interdite (en tout cas non utilisée) si l'information /500/ = G ou R </t>
      </text>
    </comment>
    <comment ref="V2" authorId="21" shapeId="0" xr:uid="{E511F98E-7419-487D-BDCD-DD2C42082A97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Quantité Obligatoire si l'information /500/ = P Interdite (en tout cas non utilisée) si l'information /500/ = G ou R Format 6 chiffres (hors virgule) et jusqu'à 4 décimales : soit 999999 ou 99999,9 ou 9999,99 ou 999,999 ou 99,9999 </t>
      </text>
    </comment>
    <comment ref="W2" authorId="22" shapeId="0" xr:uid="{474F9B72-C503-47EF-939D-667614E71BD1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Prix unitaire (si P) Format 99999999999,99 (11+2 séparé par une virgule) Obligatoire si l'information /500/ = P Interdite (en tout cas non utilisée) si l'information /500/ = G ou R </t>
      </text>
    </comment>
    <comment ref="X2" authorId="23" shapeId="0" xr:uid="{D27630D4-328C-4BD9-902E-F3573E163819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Taux de TVA Format 99,99 (2+2 séparé par une virgule) Par défaut 0% = pas de TVA </t>
      </text>
    </comment>
    <comment ref="Y2" authorId="24" shapeId="0" xr:uid="{94C402DF-AFDF-47BA-ACB7-6C89AB0ACF7B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Montant TVA (si G ou R) Par défaut = 0. Format 99999999999,99 (11+2 séparé par une virgule) Interdite (en tout cas non utilisée) si l'information /500/ = P </t>
      </text>
    </comment>
    <comment ref="Z2" authorId="25" shapeId="0" xr:uid="{7F94F5C3-2CBD-4D40-9778-6C5115B8C062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Montant TTC (si G ou R) Format 99999999999,99 (11+2 séparé par une virgule) Obligatoire si l'information /500/ = G ou R. Interdite (en tout cas non utilisée) si l'information /500/ = P </t>
      </text>
    </comment>
    <comment ref="AA2" authorId="26" shapeId="0" xr:uid="{207223C4-8568-4EAE-BFA2-A06710FEB3E4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Le n° de ligne doit être compris entre 1 et 999. </t>
      </text>
    </comment>
    <comment ref="AB2" authorId="27" shapeId="0" xr:uid="{58F8B3EE-AC0D-446E-9C7E-619B0C396D21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Les balises /541/ à /545/ sont utilisées au lieu de la balise /54/ si le module eCadre budgétaire est exploité sur l'exercice. Chapitre : 10A Nature : 10A Fonction : 10A Code interne de l'opération d'équipement : 10A Type mouvement (R = réel, E = ordre de transfert, I = ordre dans la section) : 1A Sens (D = Dépense, R = Recette) : 1A Si l'on ne veut pas passer par des composantes, il est toujours possible d'utiliser le code imputation en utilisant la partie I de la balise /54/ </t>
      </text>
    </comment>
    <comment ref="AH2" authorId="28" shapeId="0" xr:uid="{9FDAE75B-786E-441D-9B19-366E53D19C15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Informations compatibles avec l'utilisation de la licence CBU - e-Cadre budgétaire Code segmentation structurelle : 10A Code de l'élément structurel gestionnaire : 10A Code de l'élément structurel destinataire : 10A </t>
      </text>
    </comment>
    <comment ref="AI2" authorId="29" shapeId="0" xr:uid="{944BDA33-C165-426E-8D8F-9BE124BEF9F7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Informations compatibles avec l'utilisation de la licence CBU - e-Cadre budgétaire Code segmentation structurelle : 10A Code de l'élément structurel gestionnaire : 10A Code de l'élément structurel destinataire : 10A </t>
      </text>
    </comment>
    <comment ref="AJ2" authorId="30" shapeId="0" xr:uid="{EDA47017-E735-4730-B574-6E77C5125A0F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Informations compatibles avec l'utilisation de la licence CBU - e-Cadre budgétaire Eléments sectoriels 1 à 5 : - code de la segmentation 1 : 10A - code élément sectoriel 1 : 10A - code de la segmentation 2 : 10A - code élément sectoriel 2 : 10A - code de la segmentation 3 : 10A - code élément sectoriel 3 : 10A - code de la segmentation 4 : 10A - code élément sectoriel 4 : 10A - code de la segmentation 5 : 10A - code élément sectoriel 5 : 10A </t>
      </text>
    </comment>
    <comment ref="AK2" authorId="31" shapeId="0" xr:uid="{A8557374-2BBD-417E-B3DD-BADB04A7B07E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Libellé de la ligne de mouvement (par défaut = libellé de l'entête du mouvement) </t>
      </text>
    </comment>
    <comment ref="AM2" authorId="32" shapeId="0" xr:uid="{5AD9A250-E753-4D2B-A6C1-87D09540490D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Par défaut = 0 Format 99999999999,99(11+2 séparé par une virgule) Attention : Indiquer un montant TTC même si le budget est tenu en HT. Format 99999999999,99(11+2 séparé par une virgule) Remarque : si cette information est absente et si le montant FRF /60/ est différent de zéro alors le montant Euro est calculé à partir du montant FRF en appliquant le taux de conversion 6.55957 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5E5BB0-736C-4E72-B208-498BC5B96712}" keepAlive="1" name="Requête - FILIEN" description="Connexion à la requête « FILIEN » dans le classeur." type="5" refreshedVersion="8" background="1" saveData="1">
    <dbPr connection="Provider=Microsoft.Mashup.OleDb.1;Data Source=$Workbook$;Location=FILIEN;Extended Properties=&quot;&quot;" command="SELECT * FROM [FILIEN]"/>
  </connection>
</connections>
</file>

<file path=xl/sharedStrings.xml><?xml version="1.0" encoding="utf-8"?>
<sst xmlns="http://schemas.openxmlformats.org/spreadsheetml/2006/main" count="444" uniqueCount="199">
  <si>
    <t>N° de mouvement</t>
  </si>
  <si>
    <t>Type de mouvement</t>
  </si>
  <si>
    <t>Code tiers</t>
  </si>
  <si>
    <t>Libellé</t>
  </si>
  <si>
    <t>Code calendrier</t>
  </si>
  <si>
    <t>Code monnaie</t>
  </si>
  <si>
    <t>Mouvement existant</t>
  </si>
  <si>
    <t>N° de pré-bordereau</t>
  </si>
  <si>
    <t>Montant TVA</t>
  </si>
  <si>
    <t>Montant TTC</t>
  </si>
  <si>
    <t>Quantité</t>
  </si>
  <si>
    <t>Prix unitaire</t>
  </si>
  <si>
    <t>R</t>
  </si>
  <si>
    <t>E</t>
  </si>
  <si>
    <t>N</t>
  </si>
  <si>
    <t>EN-TÊTE DU MOUVEMENT - PHASE ENGAGEMENT</t>
  </si>
  <si>
    <t>C</t>
  </si>
  <si>
    <t>EN-TÊTE DU MOUVEMENT - PHASE MANDATEMENT</t>
  </si>
  <si>
    <t>LIGNE DE MOUVEMENT - PHASE ENGAGEMENT/MANDATEMENT</t>
  </si>
  <si>
    <t>/01/</t>
  </si>
  <si>
    <t>/02/</t>
  </si>
  <si>
    <t>/03/</t>
  </si>
  <si>
    <t>/04/</t>
  </si>
  <si>
    <t>/05/</t>
  </si>
  <si>
    <t>/06/</t>
  </si>
  <si>
    <t>/10/</t>
  </si>
  <si>
    <t>/12/</t>
  </si>
  <si>
    <t>/11/</t>
  </si>
  <si>
    <t>Titre créé ou réduit</t>
  </si>
  <si>
    <t>N° titre interne</t>
  </si>
  <si>
    <t>Objet du mandat / 1</t>
  </si>
  <si>
    <t>Objet du mandat / 2</t>
  </si>
  <si>
    <t>Objet du mandat / 3</t>
  </si>
  <si>
    <t>Objet du mandat / 4</t>
  </si>
  <si>
    <t>Objet du mandat / 5</t>
  </si>
  <si>
    <t>/13/</t>
  </si>
  <si>
    <t>/20/</t>
  </si>
  <si>
    <t>/21/</t>
  </si>
  <si>
    <t>/22/</t>
  </si>
  <si>
    <t>/23/</t>
  </si>
  <si>
    <t>/24/</t>
  </si>
  <si>
    <t>Type de prestation</t>
  </si>
  <si>
    <t>N° ordre du détail</t>
  </si>
  <si>
    <t>Description du détail</t>
  </si>
  <si>
    <t>Date début de prestation ou date de prestation</t>
  </si>
  <si>
    <t>Date fin de période</t>
  </si>
  <si>
    <t>Taux de TVA</t>
  </si>
  <si>
    <t>/509/</t>
  </si>
  <si>
    <t>/508/</t>
  </si>
  <si>
    <t>/507/</t>
  </si>
  <si>
    <t>/506/</t>
  </si>
  <si>
    <t>/505/</t>
  </si>
  <si>
    <t>/504/</t>
  </si>
  <si>
    <t>/503/</t>
  </si>
  <si>
    <t>/502/</t>
  </si>
  <si>
    <t>/501/</t>
  </si>
  <si>
    <t>/500/</t>
  </si>
  <si>
    <t>N° ligne de mouvement</t>
  </si>
  <si>
    <t>Code des nomenclatures sectorielles 1 à 5</t>
  </si>
  <si>
    <t>Montant TTC en euros</t>
  </si>
  <si>
    <t>/51/</t>
  </si>
  <si>
    <t>/541/</t>
  </si>
  <si>
    <t>/542/</t>
  </si>
  <si>
    <t>/543/</t>
  </si>
  <si>
    <t>/66/</t>
  </si>
  <si>
    <t>/441/</t>
  </si>
  <si>
    <t>Identifiant de la facture pour CPP</t>
  </si>
  <si>
    <t>Libellé de la ligne</t>
  </si>
  <si>
    <t>/57/</t>
  </si>
  <si>
    <t>/67/</t>
  </si>
  <si>
    <t>Montant TVA en euros</t>
  </si>
  <si>
    <t>DÉTAIL DES PRESTATIONS - Liées aux recettes - À séparer par : /**/</t>
  </si>
  <si>
    <t>[Structure]</t>
  </si>
  <si>
    <t>[Gestionnaire]</t>
  </si>
  <si>
    <t>[Chapitre]</t>
  </si>
  <si>
    <t>[Nature]</t>
  </si>
  <si>
    <t>[Fonction]</t>
  </si>
  <si>
    <t>[Code Interne]</t>
  </si>
  <si>
    <t>[Sens]</t>
  </si>
  <si>
    <t>Type de Mouvement]</t>
  </si>
  <si>
    <t>Code mouvement</t>
  </si>
  <si>
    <t>Permier numéro</t>
  </si>
  <si>
    <t>Libéllé mouvement</t>
  </si>
  <si>
    <t>Pré-bordereau</t>
  </si>
  <si>
    <t>Structure</t>
  </si>
  <si>
    <t>Gestionnaire</t>
  </si>
  <si>
    <t>BN5</t>
  </si>
  <si>
    <t>GEST_30</t>
  </si>
  <si>
    <t>P</t>
  </si>
  <si>
    <t>Emprise de chantier</t>
  </si>
  <si>
    <t>Echafaudage</t>
  </si>
  <si>
    <t>Benne</t>
  </si>
  <si>
    <t>Poteau provisoire</t>
  </si>
  <si>
    <t>Place de stationnement</t>
  </si>
  <si>
    <t>Grue Mobile</t>
  </si>
  <si>
    <t>cable aerien</t>
  </si>
  <si>
    <t>Droit de voirie ODP 2023</t>
  </si>
  <si>
    <t>2601G</t>
  </si>
  <si>
    <t>GVO147</t>
  </si>
  <si>
    <t>GVO153</t>
  </si>
  <si>
    <t>0002114</t>
  </si>
  <si>
    <t>GVO166</t>
  </si>
  <si>
    <t>Depot de materiaux</t>
  </si>
  <si>
    <t>Total Facture DV2023-051</t>
  </si>
  <si>
    <t>Total Facture DV2023-052</t>
  </si>
  <si>
    <t>Total Facture DV2023-053</t>
  </si>
  <si>
    <t>Total Facture DV2023-054</t>
  </si>
  <si>
    <t>Total Facture DV2023-055</t>
  </si>
  <si>
    <t>Total Facture DV2023-056</t>
  </si>
  <si>
    <t>Total Facture DV2023-057</t>
  </si>
  <si>
    <t>Total Facture DV2023-058</t>
  </si>
  <si>
    <t>Total Facture DV2023-059</t>
  </si>
  <si>
    <t>Total Facture DV2023-060</t>
  </si>
  <si>
    <t>Total Facture DV2023-061</t>
  </si>
  <si>
    <t>Total Facture DV2023-062</t>
  </si>
  <si>
    <t>Total Facture DV2023-063</t>
  </si>
  <si>
    <t>Total Facture DV2023-064</t>
  </si>
  <si>
    <t>Total Facture DV2023-065</t>
  </si>
  <si>
    <t>Total Facture DV2023-066</t>
  </si>
  <si>
    <t>Total Facture DV2023-067</t>
  </si>
  <si>
    <t>Total Facture DV2023-068</t>
  </si>
  <si>
    <t>Total Facture DV2023-069</t>
  </si>
  <si>
    <t>Total Facture DV2023-070</t>
  </si>
  <si>
    <t>Total Facture DV2023-071</t>
  </si>
  <si>
    <t>Total Facture DV2023-072</t>
  </si>
  <si>
    <t>Total Facture DV2023-073</t>
  </si>
  <si>
    <t>Total Facture DV2023-074</t>
  </si>
  <si>
    <t>Total Facture DV2023-075</t>
  </si>
  <si>
    <t>2601G3051</t>
  </si>
  <si>
    <t>00051</t>
  </si>
  <si>
    <t>2601G3052</t>
  </si>
  <si>
    <t>00052</t>
  </si>
  <si>
    <t>2601G3053</t>
  </si>
  <si>
    <t>00053</t>
  </si>
  <si>
    <t>2601G3054</t>
  </si>
  <si>
    <t>00054</t>
  </si>
  <si>
    <t>2601G3055</t>
  </si>
  <si>
    <t>00055</t>
  </si>
  <si>
    <t>2601G3056</t>
  </si>
  <si>
    <t>00056</t>
  </si>
  <si>
    <t>2601G3057</t>
  </si>
  <si>
    <t>00057</t>
  </si>
  <si>
    <t>2601G3058</t>
  </si>
  <si>
    <t>00058</t>
  </si>
  <si>
    <t>2601G3059</t>
  </si>
  <si>
    <t>00059</t>
  </si>
  <si>
    <t>2601G3060</t>
  </si>
  <si>
    <t>00060</t>
  </si>
  <si>
    <t>2601G3061</t>
  </si>
  <si>
    <t>00061</t>
  </si>
  <si>
    <t>2601G3062</t>
  </si>
  <si>
    <t>00062</t>
  </si>
  <si>
    <t>2601G3063</t>
  </si>
  <si>
    <t>00063</t>
  </si>
  <si>
    <t>2601G3064</t>
  </si>
  <si>
    <t>00064</t>
  </si>
  <si>
    <t>2601G3065</t>
  </si>
  <si>
    <t>00065</t>
  </si>
  <si>
    <t>2601G3066</t>
  </si>
  <si>
    <t>00066</t>
  </si>
  <si>
    <t>2601G3067</t>
  </si>
  <si>
    <t>00067</t>
  </si>
  <si>
    <t>2601G3068</t>
  </si>
  <si>
    <t>00068</t>
  </si>
  <si>
    <t>2601G3069</t>
  </si>
  <si>
    <t>00069</t>
  </si>
  <si>
    <t>2601G3070</t>
  </si>
  <si>
    <t>00070</t>
  </si>
  <si>
    <t>2601G3071</t>
  </si>
  <si>
    <t>00071</t>
  </si>
  <si>
    <t>2601G3072</t>
  </si>
  <si>
    <t>00072</t>
  </si>
  <si>
    <t>2601G3073</t>
  </si>
  <si>
    <t>00073</t>
  </si>
  <si>
    <t>2601G3074</t>
  </si>
  <si>
    <t>00074</t>
  </si>
  <si>
    <t>2601G3075</t>
  </si>
  <si>
    <t>00075</t>
  </si>
  <si>
    <t>GVO160</t>
  </si>
  <si>
    <t>0021541</t>
  </si>
  <si>
    <t>GVO167</t>
  </si>
  <si>
    <t>GVO170</t>
  </si>
  <si>
    <t>GVO112</t>
  </si>
  <si>
    <t>GVO173</t>
  </si>
  <si>
    <t>GVO096</t>
  </si>
  <si>
    <t>GVO181</t>
  </si>
  <si>
    <t>GVO070</t>
  </si>
  <si>
    <t>GVO169</t>
  </si>
  <si>
    <t>GVO172</t>
  </si>
  <si>
    <t>0000425</t>
  </si>
  <si>
    <t>GVO197</t>
  </si>
  <si>
    <t>0017655</t>
  </si>
  <si>
    <t>GVO114</t>
  </si>
  <si>
    <t>GVO016</t>
  </si>
  <si>
    <t>GVO109</t>
  </si>
  <si>
    <t>GVO161</t>
  </si>
  <si>
    <t>GVO212</t>
  </si>
  <si>
    <t>GVO211</t>
  </si>
  <si>
    <t>GVO113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</si>
</sst>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_€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28">
    <xf numFmtId="0" fontId="0" fillId="0" borderId="0" xfId="0"/>
    <xf numFmtId="14" fontId="0" fillId="0" borderId="0" xfId="0" applyNumberFormat="1"/>
    <xf numFmtId="0" fontId="0" fillId="0" borderId="0" xfId="0" quotePrefix="1"/>
    <xf numFmtId="0" fontId="3" fillId="0" borderId="0" xfId="0" applyFont="1"/>
    <xf numFmtId="0" fontId="3" fillId="3" borderId="0" xfId="0" applyFont="1" applyFill="1"/>
    <xf numFmtId="0" fontId="3" fillId="2" borderId="0" xfId="0" applyFont="1" applyFill="1"/>
    <xf numFmtId="164" fontId="3" fillId="5" borderId="0" xfId="0" applyNumberFormat="1" applyFont="1" applyFill="1"/>
    <xf numFmtId="164" fontId="0" fillId="0" borderId="0" xfId="0" applyNumberFormat="1"/>
    <xf numFmtId="164" fontId="0" fillId="0" borderId="0" xfId="0" quotePrefix="1" applyNumberFormat="1"/>
    <xf numFmtId="164" fontId="3" fillId="4" borderId="0" xfId="0" applyNumberFormat="1" applyFont="1" applyFill="1"/>
    <xf numFmtId="0" fontId="3" fillId="5" borderId="0" xfId="0" applyFont="1" applyFill="1"/>
    <xf numFmtId="1" fontId="3" fillId="4" borderId="0" xfId="0" applyNumberFormat="1" applyFont="1" applyFill="1"/>
    <xf numFmtId="1" fontId="0" fillId="0" borderId="0" xfId="0" quotePrefix="1" applyNumberFormat="1"/>
    <xf numFmtId="1" fontId="0" fillId="0" borderId="0" xfId="0" applyNumberFormat="1"/>
    <xf numFmtId="14" fontId="3" fillId="4" borderId="0" xfId="0" applyNumberFormat="1" applyFont="1" applyFill="1"/>
    <xf numFmtId="0" fontId="0" fillId="0" borderId="0" xfId="0" applyAlignment="1">
      <alignment horizontal="left"/>
    </xf>
    <xf numFmtId="164" fontId="0" fillId="0" borderId="1" xfId="0" applyNumberFormat="1" applyBorder="1"/>
    <xf numFmtId="164" fontId="2" fillId="0" borderId="0" xfId="0" applyNumberFormat="1" applyFont="1"/>
    <xf numFmtId="0" fontId="5" fillId="0" borderId="0" xfId="0" applyFont="1"/>
    <xf numFmtId="0" fontId="3" fillId="4" borderId="0" xfId="0" applyFont="1" applyFill="1"/>
    <xf numFmtId="49" fontId="0" fillId="0" borderId="0" xfId="0" applyNumberFormat="1"/>
    <xf numFmtId="2" fontId="2" fillId="0" borderId="0" xfId="0" applyNumberFormat="1" applyFont="1"/>
    <xf numFmtId="2" fontId="0" fillId="0" borderId="0" xfId="0" applyNumberFormat="1"/>
    <xf numFmtId="2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64" fontId="1" fillId="4" borderId="0" xfId="0" applyNumberFormat="1" applyFont="1" applyFill="1" applyAlignment="1">
      <alignment horizontal="center" vertical="center"/>
    </xf>
    <xf numFmtId="164" fontId="1" fillId="5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48">
    <dxf>
      <numFmt numFmtId="164" formatCode="#,##0.00\ _€"/>
    </dxf>
    <dxf>
      <numFmt numFmtId="164" formatCode="#,##0.00\ _€"/>
    </dxf>
    <dxf>
      <numFmt numFmtId="164" formatCode="#,##0.00\ _€"/>
    </dxf>
    <dxf>
      <numFmt numFmtId="164" formatCode="#,##0.00\ _€"/>
    </dxf>
    <dxf>
      <numFmt numFmtId="164" formatCode="#,##0.00\ _€"/>
    </dxf>
    <dxf>
      <numFmt numFmtId="164" formatCode="#,##0.00\ _€"/>
    </dxf>
    <dxf>
      <numFmt numFmtId="164" formatCode="#,##0.00\ _€"/>
    </dxf>
    <dxf>
      <numFmt numFmtId="164" formatCode="#,##0.00\ _€"/>
    </dxf>
    <dxf>
      <numFmt numFmtId="164" formatCode="#,##0.00\ _€"/>
    </dxf>
    <dxf>
      <numFmt numFmtId="164" formatCode="#,##0.00\ _€"/>
    </dxf>
    <dxf>
      <numFmt numFmtId="164" formatCode="#,##0.00\ _€"/>
    </dxf>
    <dxf>
      <numFmt numFmtId="164" formatCode="#,##0.00\ _€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#,##0.00\ _€"/>
    </dxf>
    <dxf>
      <numFmt numFmtId="164" formatCode="#,##0.00\ _€"/>
    </dxf>
    <dxf>
      <numFmt numFmtId="164" formatCode="#,##0.00\ _€"/>
    </dxf>
    <dxf>
      <numFmt numFmtId="164" formatCode="#,##0.00\ _€"/>
    </dxf>
    <dxf>
      <numFmt numFmtId="164" formatCode="#,##0.00\ _€"/>
    </dxf>
    <dxf>
      <numFmt numFmtId="164" formatCode="#,##0.00\ _€"/>
    </dxf>
    <dxf>
      <numFmt numFmtId="0" formatCode="General"/>
    </dxf>
    <dxf>
      <numFmt numFmtId="165" formatCode="0.0000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64" formatCode="#,##0.00\ _€"/>
    </dxf>
    <dxf>
      <numFmt numFmtId="164" formatCode="#,##0.00\ _€"/>
    </dxf>
    <dxf>
      <numFmt numFmtId="1" formatCode="0"/>
    </dxf>
    <dxf>
      <numFmt numFmtId="1" formatCode="0"/>
    </dxf>
    <dxf>
      <numFmt numFmtId="164" formatCode="#,##0.00\ _€"/>
    </dxf>
    <dxf>
      <numFmt numFmtId="164" formatCode="#,##0.00\ _€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CHEVALIER Marc" id="{F59169B9-7183-434D-9CC1-41B54498908F}" userId="S::MaChevalier@ivry94.fr::3e85fd26-ce97-4b90-b8bf-8ed8a95b285f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B65785B3-0740-4F80-A90D-92F38F6F41C0}" autoFormatId="16" applyNumberFormats="0" applyBorderFormats="0" applyFontFormats="0" applyPatternFormats="0" applyAlignmentFormats="0" applyWidthHeightFormats="0">
  <queryTableRefresh nextId="44" unboundColumnsRight="13">
    <queryTableFields count="39">
      <queryTableField id="1" name="N° de mouvement" tableColumnId="1"/>
      <queryTableField id="2" name="Type de mouvement" tableColumnId="2"/>
      <queryTableField id="3" name="Code tiers" tableColumnId="3"/>
      <queryTableField id="4" name="Libellé" tableColumnId="4"/>
      <queryTableField id="5" name="Code calendrier" tableColumnId="5"/>
      <queryTableField id="6" name="Code monnaie" tableColumnId="6"/>
      <queryTableField id="7" name="Mouvement existant" tableColumnId="7"/>
      <queryTableField id="8" name="N° de pré-bordereau" tableColumnId="8"/>
      <queryTableField id="9" name="Date" tableColumnId="9"/>
      <queryTableField id="10" name="Référence" tableColumnId="10"/>
      <queryTableField id="11" name="Nom du tiers" tableColumnId="11"/>
      <queryTableField id="29" dataBound="0" tableColumnId="29"/>
      <queryTableField id="28" dataBound="0" tableColumnId="28"/>
      <queryTableField id="35" dataBound="0" tableColumnId="35"/>
      <queryTableField id="27" dataBound="0" tableColumnId="27"/>
      <queryTableField id="26" dataBound="0" tableColumnId="26"/>
      <queryTableField id="12" name="RIB/IBAN" tableColumnId="12"/>
      <queryTableField id="13" name="Mode de paiement" tableColumnId="13"/>
      <queryTableField id="14" name="N° de ligne" tableColumnId="14"/>
      <queryTableField id="15" name="Imputation" tableColumnId="15"/>
      <queryTableField id="16" name="Montant HT" tableColumnId="16"/>
      <queryTableField id="17" name="Montant TVA" tableColumnId="17"/>
      <queryTableField id="18" name="Montant TTC" tableColumnId="18"/>
      <queryTableField id="19" name="Libellé prestation" tableColumnId="19"/>
      <queryTableField id="20" name="Quantité" tableColumnId="20"/>
      <queryTableField id="21" name="Unité" tableColumnId="21"/>
      <queryTableField id="30" dataBound="0" tableColumnId="30"/>
      <queryTableField id="31" dataBound="0" tableColumnId="31"/>
      <queryTableField id="39" dataBound="0" tableColumnId="39"/>
      <queryTableField id="40" dataBound="0" tableColumnId="40"/>
      <queryTableField id="41" dataBound="0" tableColumnId="41"/>
      <queryTableField id="43" dataBound="0" tableColumnId="43"/>
      <queryTableField id="42" dataBound="0" tableColumnId="42"/>
      <queryTableField id="38" dataBound="0" tableColumnId="38"/>
      <queryTableField id="32" dataBound="0" tableColumnId="32"/>
      <queryTableField id="33" dataBound="0" tableColumnId="33"/>
      <queryTableField id="36" dataBound="0" tableColumnId="36"/>
      <queryTableField id="37" dataBound="0" tableColumnId="37"/>
      <queryTableField id="34" dataBound="0" tableColumnId="34"/>
    </queryTableFields>
    <queryTableDeletedFields count="4">
      <deletedField name="Prix unitaire"/>
      <deletedField name="Montant total"/>
      <deletedField name="Date début"/>
      <deletedField name="Date fin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C355B1-94CA-4B7D-B954-29777CEB29D7}" name="FILIEN" displayName="FILIEN" ref="A2:AM54" tableType="queryTable" totalsRowShown="0">
  <autoFilter ref="A2:AM54" xr:uid="{61C355B1-94CA-4B7D-B954-29777CEB29D7}"/>
  <tableColumns count="39">
    <tableColumn id="1" xr3:uid="{EE589E87-06A6-413F-BBFE-572DD8C0B591}" uniqueName="1" name="N° de mouvement" queryTableFieldId="1" dataDxfId="47"/>
    <tableColumn id="2" xr3:uid="{CF91AA29-1002-4555-88BE-C10C9276EF43}" uniqueName="2" name="Type de mouvement" queryTableFieldId="2" dataDxfId="46"/>
    <tableColumn id="3" xr3:uid="{52DC440A-80B7-4CEC-A78E-5DDB8AB51177}" uniqueName="3" name="Code tiers" queryTableFieldId="3" dataDxfId="45"/>
    <tableColumn id="4" xr3:uid="{3B2D972D-BA2C-4099-B506-5CC02E8BD12A}" uniqueName="4" name="Libellé" queryTableFieldId="4" dataDxfId="44"/>
    <tableColumn id="5" xr3:uid="{A1F7772A-60FC-4CF9-B084-F8AA7B3ABDE9}" uniqueName="5" name="Code calendrier" queryTableFieldId="5"/>
    <tableColumn id="6" xr3:uid="{98933BD7-7183-44CE-A692-656C147530DE}" uniqueName="6" name="Code monnaie" queryTableFieldId="6" dataDxfId="43"/>
    <tableColumn id="7" xr3:uid="{1E309F69-EEB3-4A1E-B425-B10020C4CCE1}" uniqueName="7" name="Mouvement existant" queryTableFieldId="7" dataDxfId="42"/>
    <tableColumn id="8" xr3:uid="{F451B64C-551F-4A7D-A262-9BB963821986}" uniqueName="8" name="N° de pré-bordereau" queryTableFieldId="8"/>
    <tableColumn id="9" xr3:uid="{F168E42F-A464-4BD7-BEFB-F380FD17A6BA}" uniqueName="9" name="Titre créé ou réduit" queryTableFieldId="9" dataDxfId="41" totalsRowDxfId="40"/>
    <tableColumn id="10" xr3:uid="{1FC4B004-6BF1-4967-8B2A-D8D407ACB569}" uniqueName="10" name="N° titre interne" queryTableFieldId="10" dataDxfId="39"/>
    <tableColumn id="11" xr3:uid="{60BE3B52-69C6-48F8-92E7-252010AA631C}" uniqueName="11" name="Objet du mandat / 1" queryTableFieldId="11" dataDxfId="38"/>
    <tableColumn id="29" xr3:uid="{B4FFCE9D-FB90-459A-A315-0A1ADE6FC2B4}" uniqueName="29" name="Objet du mandat / 2" queryTableFieldId="29"/>
    <tableColumn id="28" xr3:uid="{F7938793-5D61-4EC9-820F-828E080E8B29}" uniqueName="28" name="Objet du mandat / 3" queryTableFieldId="28"/>
    <tableColumn id="35" xr3:uid="{F8553A5A-7F77-4D2A-BD7B-1558E79EA493}" uniqueName="35" name="Objet du mandat / 4" queryTableFieldId="35"/>
    <tableColumn id="27" xr3:uid="{2ADC5D31-3032-4393-A14C-F9D257DD4457}" uniqueName="27" name="Objet du mandat / 5" queryTableFieldId="27"/>
    <tableColumn id="26" xr3:uid="{ED5430D3-8C49-4107-BC22-D847E35A02B0}" uniqueName="26" name="Identifiant de la facture pour CPP" queryTableFieldId="26"/>
    <tableColumn id="12" xr3:uid="{7FD5EDBC-C208-4DAE-8619-AEDF530E4EA9}" uniqueName="12" name="Type de prestation" queryTableFieldId="12" dataDxfId="37" totalsRowDxfId="36"/>
    <tableColumn id="13" xr3:uid="{F7F565EE-3E3F-4DCC-B18C-F1740E0784A0}" uniqueName="13" name="N° ordre du détail" queryTableFieldId="13" dataDxfId="35" totalsRowDxfId="34"/>
    <tableColumn id="14" xr3:uid="{23DB63B1-7D2C-419D-9D5A-6C66C92AED98}" uniqueName="14" name="Description du détail" queryTableFieldId="14" dataDxfId="33" totalsRowDxfId="32"/>
    <tableColumn id="15" xr3:uid="{87A89BBF-62B5-4081-AB9B-61C30AC5B1FC}" uniqueName="15" name="Date début de prestation ou date de prestation" queryTableFieldId="15" dataDxfId="31" totalsRowDxfId="30"/>
    <tableColumn id="16" xr3:uid="{F7D65237-7CE7-42EE-9001-C0BDCFAF8A9B}" uniqueName="16" name="Date fin de période" queryTableFieldId="16" dataDxfId="29" totalsRowDxfId="28"/>
    <tableColumn id="17" xr3:uid="{6C90B275-4D12-439D-8783-E321E3B71736}" uniqueName="17" name="Quantité" queryTableFieldId="17" dataDxfId="27" totalsRowDxfId="26"/>
    <tableColumn id="18" xr3:uid="{C5331316-3B5F-4227-941C-701E4F95A08F}" uniqueName="18" name="Prix unitaire" queryTableFieldId="18" dataDxfId="25" totalsRowDxfId="24"/>
    <tableColumn id="19" xr3:uid="{5ABA5B82-7100-4A84-A88A-1615F540A863}" uniqueName="19" name="Taux de TVA" queryTableFieldId="19" dataDxfId="23" totalsRowDxfId="22"/>
    <tableColumn id="20" xr3:uid="{86ED5B4E-5E41-4CDA-B77E-46337CE3400A}" uniqueName="20" name="Montant TVA" queryTableFieldId="20" dataDxfId="21" totalsRowDxfId="20"/>
    <tableColumn id="21" xr3:uid="{A2FFD8BE-5D9A-40A8-94B5-442E289169D2}" uniqueName="21" name="Montant TTC" queryTableFieldId="21" dataDxfId="19"/>
    <tableColumn id="30" xr3:uid="{5803FA1A-43ED-44AA-8BDF-72FD29EDA812}" uniqueName="30" name="N° ligne de mouvement" queryTableFieldId="30" dataDxfId="18"/>
    <tableColumn id="31" xr3:uid="{1B9E7FDA-47C5-4B4B-AE4D-AB3F2BF94A53}" uniqueName="31" name="[Chapitre]" queryTableFieldId="31" dataDxfId="17"/>
    <tableColumn id="39" xr3:uid="{A92F49AF-36D2-4C58-A035-C6213205C401}" uniqueName="39" name="[Nature]" queryTableFieldId="39" dataDxfId="16"/>
    <tableColumn id="40" xr3:uid="{A68F833B-0E06-4230-83AC-DB52FE980C23}" uniqueName="40" name="[Fonction]" queryTableFieldId="40" dataDxfId="15"/>
    <tableColumn id="41" xr3:uid="{F3E715DC-B387-4586-A7D7-8205C4B67D47}" uniqueName="41" name="[Code Interne]" queryTableFieldId="41" dataDxfId="14"/>
    <tableColumn id="43" xr3:uid="{905022D3-48AC-46F5-BAB0-125B9ECF7996}" uniqueName="43" name="Type de Mouvement]" queryTableFieldId="43" dataDxfId="13"/>
    <tableColumn id="42" xr3:uid="{CE4E859E-CECF-47EC-BF01-D49A363F7000}" uniqueName="42" name="[Sens]" queryTableFieldId="42" dataDxfId="12"/>
    <tableColumn id="38" xr3:uid="{CE5C9566-DA5D-43D6-9707-C02C185FE7B3}" uniqueName="38" name="[Structure]" queryTableFieldId="38" dataDxfId="11" totalsRowDxfId="10"/>
    <tableColumn id="32" xr3:uid="{9183878E-637A-4E0B-8E48-F77C19FC5CE7}" uniqueName="32" name="[Gestionnaire]" queryTableFieldId="32" dataDxfId="9" totalsRowDxfId="8"/>
    <tableColumn id="33" xr3:uid="{1D5F65E9-754C-49C9-9872-8ACE3156CB1F}" uniqueName="33" name="Code des nomenclatures sectorielles 1 à 5" queryTableFieldId="33" dataDxfId="7" totalsRowDxfId="6"/>
    <tableColumn id="36" xr3:uid="{BD217B1F-CF68-488D-AEEC-9E37F6CE1F86}" uniqueName="36" name="Libellé de la ligne" queryTableFieldId="36" dataDxfId="5" totalsRowDxfId="4"/>
    <tableColumn id="37" xr3:uid="{130E2866-6B1A-429D-AAAA-93A254465DFA}" uniqueName="37" name="Montant TTC en euros" queryTableFieldId="37" dataDxfId="3" totalsRowDxfId="2"/>
    <tableColumn id="34" xr3:uid="{418109BC-1E4F-49A9-A740-036905828AD0}" uniqueName="34" name="Montant TVA en euros" queryTableFieldId="34" dataDxfId="1" totalsRow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4-11-28T08:22:38.79" personId="{F59169B9-7183-434D-9CC1-41B54498908F}" id="{64EAFD3A-CA51-4119-B92A-45A36BFDA910}">
    <text xml:space="preserve">Ne doit pas exister déjà dans la table mouvement pour le même budget/exercice, sauf si l'information /10/ est positionnée à "O" </text>
  </threadedComment>
  <threadedComment ref="B2" dT="2024-11-28T08:23:03.22" personId="{F59169B9-7183-434D-9CC1-41B54498908F}" id="{5F34B359-FB9F-41F1-A612-DD2572AE0DF4}">
    <text xml:space="preserve">"D" = Dépense ou mandat (par défaut) "R" = Recette </text>
  </threadedComment>
  <threadedComment ref="C2" dT="2024-11-28T08:23:21.04" personId="{F59169B9-7183-434D-9CC1-41B54498908F}" id="{BD40F0E6-A46B-415A-A0BD-E319461D57A9}">
    <text xml:space="preserve">Doit correspondre à un enregistrement dans la table Tiers </text>
  </threadedComment>
  <threadedComment ref="D2" dT="2024-11-28T08:23:43.50" personId="{F59169B9-7183-434D-9CC1-41B54498908F}" id="{0E6C25EA-B703-4290-853C-F784ABA1CF6C}">
    <text>Libellé du mouvement</text>
  </threadedComment>
  <threadedComment ref="E2" dT="2024-11-28T08:25:01.70" personId="{F59169B9-7183-434D-9CC1-41B54498908F}" id="{6CEBD0D1-3B65-43D7-A501-6F16173B4500}">
    <text xml:space="preserve">Doit exister dans la table Calendrier. Vérifier que le calendrier utilisé n'est pas en contradiction avec le code avancement indiqué dans l'enregistrement En-tête. Exemple : refuser le mouvement si le code avancement = 3 et si le calendrier est type Mandatement direct 
</text>
  </threadedComment>
  <threadedComment ref="F2" dT="2024-11-28T08:24:43.04" personId="{F59169B9-7183-434D-9CC1-41B54498908F}" id="{1EE4D928-DF27-44C5-B7A4-BA876A0E762C}">
    <text xml:space="preserve">F" = Francs/"E" = Euros (par défaut = "F") </text>
  </threadedComment>
  <threadedComment ref="G2" dT="2024-11-28T08:30:55.44" personId="{F59169B9-7183-434D-9CC1-41B54498908F}" id="{7260168B-11B5-4CA2-B7B8-E906B813787C}">
    <text xml:space="preserve">"O" = ce mouvement existe déjà "N" = il s'agit d'un nouveau mouvement (par défaut) </text>
  </threadedComment>
  <threadedComment ref="H2" dT="2024-11-28T08:30:36.42" personId="{F59169B9-7183-434D-9CC1-41B54498908F}" id="{F7FAEA91-5FD8-4A7B-820D-AF2EDCA57DA1}">
    <text xml:space="preserve">Peut correspondre ou non à un enregistrement dans la table prebordero </text>
  </threadedComment>
  <threadedComment ref="I2" dT="2024-11-28T08:36:44.68" personId="{F59169B9-7183-434D-9CC1-41B54498908F}" id="{A4D1D09F-2AB6-4E59-B258-434F580C0685}">
    <text xml:space="preserve">"C" = Mandat ou recette en création (par défaut "R" = Mandat ou recette en réduction </text>
  </threadedComment>
  <threadedComment ref="J2" dT="2024-11-28T08:36:58.92" personId="{F59169B9-7183-434D-9CC1-41B54498908F}" id="{002C0A78-E93A-4DD1-8D42-BA21F2C81BC4}">
    <text xml:space="preserve">Ne doit pas déjà exister dans la table mandat </text>
  </threadedComment>
  <threadedComment ref="K2" dT="2024-11-28T08:37:22.69" personId="{F59169B9-7183-434D-9CC1-41B54498908F}" id="{5279EF4A-86F9-4166-B320-224B27558D4E}">
    <text xml:space="preserve">Objet 1 du mandat (mémorisé dans la table mandobjet) Correspond à la zone Objet dans e-Liquidation </text>
  </threadedComment>
  <threadedComment ref="L2" dT="2024-11-28T08:37:39.52" personId="{F59169B9-7183-434D-9CC1-41B54498908F}" id="{D5E596A0-DF91-40E7-97FA-0D07262D0ACB}">
    <text xml:space="preserve">Objet 2 du mandat (mémorisé dans la table mandobjet) Correspond à la zone Complément dans e-Liquidation </text>
  </threadedComment>
  <threadedComment ref="M2" dT="2024-11-28T08:39:05.57" personId="{F59169B9-7183-434D-9CC1-41B54498908F}" id="{85A1A784-96DD-48AD-8A0F-B587C7DB129A}">
    <text xml:space="preserve">Objet 3 du mandat (mémorisé dans la table mandobjet) </text>
  </threadedComment>
  <threadedComment ref="N2" dT="2024-11-28T08:38:30.95" personId="{F59169B9-7183-434D-9CC1-41B54498908F}" id="{F216023E-C15D-412C-A2C2-FF2179E48E68}">
    <text xml:space="preserve">Objet 4 du mandat (mémorisé dans la table mandobjet) </text>
  </threadedComment>
  <threadedComment ref="O2" dT="2024-11-28T08:39:33.17" personId="{F59169B9-7183-434D-9CC1-41B54498908F}" id="{CFA5B1C3-DCC1-4EF3-AD08-6DBA4FEE5767}">
    <text xml:space="preserve">Objet 5 du mandat (mémorisé dans la table mandobjet) </text>
  </threadedComment>
  <threadedComment ref="P2" dT="2024-11-28T08:39:33.17" personId="{F59169B9-7183-434D-9CC1-41B54498908F}" id="{15B74527-E3E5-4C56-A0DA-74B6777F10D7}">
    <text xml:space="preserve">Identifiant de la demande de paiement envoyée à la collectivité destinatrice A renseigner pour les ASAP liés à un tiers de la sphère publique Autorisée seulement si la balise /02/ type mouvement = "R" 
</text>
  </threadedComment>
  <threadedComment ref="Q2" dT="2024-11-28T08:48:34.42" personId="{F59169B9-7183-434D-9CC1-41B54498908F}" id="{CDA91434-3248-4555-8172-AAA6EDE2EEAF}">
    <text xml:space="preserve">Valeur P ou G ou R La présence de cette information permet d'indiquer qu'il s'agit d'un ASAP dématérialisé. Elle permet aussi d'indiquer le type de détail : P pour Prestation sur Période, G pour Prestation Globale ou R pour Remise. Les informations /500/ à /509/ sont autorisées seulement si la balise /02/ type mouvement = "R" </text>
  </threadedComment>
  <threadedComment ref="R2" dT="2024-11-28T08:48:22.26" personId="{F59169B9-7183-434D-9CC1-41B54498908F}" id="{96DA7B40-5BE6-476B-9ED0-D7186441F5AB}">
    <text xml:space="preserve">Obligatoire si l'information /500/ existe </text>
  </threadedComment>
  <threadedComment ref="S2" dT="2024-11-28T08:48:08.72" personId="{F59169B9-7183-434D-9CC1-41B54498908F}" id="{128BF051-C92F-4816-8E2E-BD9F83FFABE2}">
    <text xml:space="preserve">Obligatoire si l'information /500/ existe </text>
  </threadedComment>
  <threadedComment ref="T2" dT="2024-11-28T08:47:42.68" personId="{F59169B9-7183-434D-9CC1-41B54498908F}" id="{5094FA0C-2043-4416-99B7-429936E1BE5B}">
    <text xml:space="preserve">Date de début si P ou date de prestation si G ou R au format JJMMAAAA Obligatoire si l'information /500/ existe </text>
  </threadedComment>
  <threadedComment ref="U2" dT="2024-11-28T08:47:31.24" personId="{F59169B9-7183-434D-9CC1-41B54498908F}" id="{E934C308-7138-4AEC-89E1-CABF909FE620}">
    <text xml:space="preserve">Date de fin Obligatoire si l'information /500/ = P Interdite (en tout cas non utilisée) si l'information /500/ = G ou R </text>
  </threadedComment>
  <threadedComment ref="V2" dT="2024-11-28T08:47:07.64" personId="{F59169B9-7183-434D-9CC1-41B54498908F}" id="{E511F98E-7419-487D-BDCD-DD2C42082A97}">
    <text xml:space="preserve">Quantité Obligatoire si l'information /500/ = P Interdite (en tout cas non utilisée) si l'information /500/ = G ou R Format 6 chiffres (hors virgule) et jusqu'à 4 décimales : soit 999999 ou 99999,9 ou 9999,99 ou 999,999 ou 99,9999 </text>
  </threadedComment>
  <threadedComment ref="W2" dT="2024-11-28T08:46:56.32" personId="{F59169B9-7183-434D-9CC1-41B54498908F}" id="{474F9B72-C503-47EF-939D-667614E71BD1}">
    <text xml:space="preserve">Prix unitaire (si P) Format 99999999999,99 (11+2 séparé par une virgule) Obligatoire si l'information /500/ = P Interdite (en tout cas non utilisée) si l'information /500/ = G ou R </text>
  </threadedComment>
  <threadedComment ref="X2" dT="2024-11-28T08:46:41.98" personId="{F59169B9-7183-434D-9CC1-41B54498908F}" id="{D27630D4-328C-4BD9-902E-F3573E163819}">
    <text xml:space="preserve">Taux de TVA Format 99,99 (2+2 séparé par une virgule) Par défaut 0% = pas de TVA </text>
  </threadedComment>
  <threadedComment ref="Y2" dT="2024-11-28T08:46:07.10" personId="{F59169B9-7183-434D-9CC1-41B54498908F}" id="{94C402DF-AFDF-47BA-ACB7-6C89AB0ACF7B}">
    <text xml:space="preserve">Montant TVA (si G ou R) Par défaut = 0. Format 99999999999,99 (11+2 séparé par une virgule) Interdite (en tout cas non utilisée) si l'information /500/ = P </text>
  </threadedComment>
  <threadedComment ref="Z2" dT="2024-11-28T08:45:39.43" personId="{F59169B9-7183-434D-9CC1-41B54498908F}" id="{7F94F5C3-2CBD-4D40-9778-6C5115B8C062}">
    <text xml:space="preserve">Montant TTC (si G ou R) Format 99999999999,99 (11+2 séparé par une virgule) Obligatoire si l'information /500/ = G ou R. Interdite (en tout cas non utilisée) si l'information /500/ = P </text>
  </threadedComment>
  <threadedComment ref="AA2" dT="2024-11-28T09:00:21.41" personId="{F59169B9-7183-434D-9CC1-41B54498908F}" id="{207223C4-8568-4EAE-BFA2-A06710FEB3E4}">
    <text xml:space="preserve">Le n° de ligne doit être compris entre 1 et 999. </text>
  </threadedComment>
  <threadedComment ref="AB2" dT="2024-11-28T09:00:05.94" personId="{F59169B9-7183-434D-9CC1-41B54498908F}" id="{58F8B3EE-AC0D-446E-9C7E-619B0C396D21}">
    <text xml:space="preserve">Les balises /541/ à /545/ sont utilisées au lieu de la balise /54/ si le module eCadre budgétaire est exploité sur l'exercice. Chapitre : 10A Nature : 10A Fonction : 10A Code interne de l'opération d'équipement : 10A Type mouvement (R = réel, E = ordre de transfert, I = ordre dans la section) : 1A Sens (D = Dépense, R = Recette) : 1A Si l'on ne veut pas passer par des composantes, il est toujours possible d'utiliser le code imputation en utilisant la partie I de la balise /54/ </text>
  </threadedComment>
  <threadedComment ref="AH2" dT="2024-11-28T10:26:52.54" personId="{F59169B9-7183-434D-9CC1-41B54498908F}" id="{9FDAE75B-786E-441D-9B19-366E53D19C15}">
    <text xml:space="preserve">Informations compatibles avec l'utilisation de la licence CBU - e-Cadre budgétaire Code segmentation structurelle : 10A Code de l'élément structurel gestionnaire : 10A Code de l'élément structurel destinataire : 10A </text>
  </threadedComment>
  <threadedComment ref="AI2" dT="2024-11-28T10:26:52.54" personId="{F59169B9-7183-434D-9CC1-41B54498908F}" id="{944BDA33-C165-426E-8D8F-9BE124BEF9F7}">
    <text xml:space="preserve">Informations compatibles avec l'utilisation de la licence CBU - e-Cadre budgétaire Code segmentation structurelle : 10A Code de l'élément structurel gestionnaire : 10A Code de l'élément structurel destinataire : 10A </text>
  </threadedComment>
  <threadedComment ref="AJ2" dT="2024-11-28T10:26:16.62" personId="{F59169B9-7183-434D-9CC1-41B54498908F}" id="{EDA47017-E735-4730-B574-6E77C5125A0F}">
    <text xml:space="preserve">Informations compatibles avec l'utilisation de la licence CBU - e-Cadre budgétaire Eléments sectoriels 1 à 5 : - code de la segmentation 1 : 10A - code élément sectoriel 1 : 10A - code de la segmentation 2 : 10A - code élément sectoriel 2 : 10A - code de la segmentation 3 : 10A - code élément sectoriel 3 : 10A - code de la segmentation 4 : 10A - code élément sectoriel 4 : 10A - code de la segmentation 5 : 10A - code élément sectoriel 5 : 10A </text>
  </threadedComment>
  <threadedComment ref="AK2" dT="2024-11-28T10:25:21.32" personId="{F59169B9-7183-434D-9CC1-41B54498908F}" id="{A8557374-2BBD-417E-B3DD-BADB04A7B07E}">
    <text xml:space="preserve">Libellé de la ligne de mouvement (par défaut = libellé de l'entête du mouvement) </text>
  </threadedComment>
  <threadedComment ref="AM2" dT="2024-11-28T10:25:48.07" personId="{F59169B9-7183-434D-9CC1-41B54498908F}" id="{5AD9A250-E753-4D2B-A6C1-87D09540490D}">
    <text xml:space="preserve">Par défaut = 0 Format 99999999999,99(11+2 séparé par une virgule) Attention : Indiquer un montant TTC même si le budget est tenu en HT. Format 99999999999,99(11+2 séparé par une virgule) Remarque : si cette information est absente et si le montant FRF /60/ est différent de zéro alors le montant Euro est calculé à partir du montant FRF en appliquant le taux de conversion 6.55957 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7DFD-2F4F-4F46-B90A-CD0B7263B321}">
  <sheetPr codeName="Feuil1"/>
  <dimension ref="A1:AM62"/>
  <sheetViews>
    <sheetView tabSelected="1" topLeftCell="S43" zoomScaleNormal="100" workbookViewId="0">
      <selection activeCell="J61" sqref="J61"/>
    </sheetView>
  </sheetViews>
  <sheetFormatPr baseColWidth="10" defaultRowHeight="15" x14ac:dyDescent="0.25"/>
  <cols>
    <col min="1" max="1" width="19.7109375" bestFit="1" customWidth="1"/>
    <col min="2" max="2" width="21.7109375" bestFit="1" customWidth="1"/>
    <col min="3" max="3" width="12.7109375" bestFit="1" customWidth="1"/>
    <col min="4" max="4" width="35.7109375" bestFit="1" customWidth="1"/>
    <col min="5" max="5" width="17.7109375" bestFit="1" customWidth="1"/>
    <col min="6" max="6" width="16.42578125" bestFit="1" customWidth="1"/>
    <col min="7" max="8" width="21.85546875" bestFit="1" customWidth="1"/>
    <col min="9" max="9" width="11.85546875" customWidth="1"/>
    <col min="10" max="10" width="12.7109375" bestFit="1" customWidth="1"/>
    <col min="11" max="11" width="14.85546875" bestFit="1" customWidth="1"/>
    <col min="12" max="16" width="14.85546875" customWidth="1"/>
    <col min="17" max="17" width="25.140625" style="7" bestFit="1" customWidth="1"/>
    <col min="18" max="18" width="24.28515625" style="13" bestFit="1" customWidth="1"/>
    <col min="19" max="19" width="27.28515625" style="7" bestFit="1" customWidth="1"/>
    <col min="20" max="20" width="16.85546875" style="1" customWidth="1"/>
    <col min="21" max="21" width="12.7109375" style="1" customWidth="1"/>
    <col min="22" max="22" width="16" bestFit="1" customWidth="1"/>
    <col min="23" max="23" width="19.140625" bestFit="1" customWidth="1"/>
    <col min="24" max="24" width="18.85546875" style="7" bestFit="1" customWidth="1"/>
    <col min="25" max="25" width="19.42578125" style="7" bestFit="1" customWidth="1"/>
    <col min="26" max="26" width="19.5703125" style="7" bestFit="1" customWidth="1"/>
    <col min="27" max="27" width="19.5703125" customWidth="1"/>
    <col min="28" max="28" width="11.28515625" customWidth="1"/>
    <col min="29" max="29" width="8.42578125" customWidth="1"/>
    <col min="30" max="30" width="10.7109375" customWidth="1"/>
    <col min="31" max="31" width="14.42578125" customWidth="1"/>
    <col min="32" max="32" width="8.5703125" customWidth="1"/>
    <col min="33" max="33" width="7.28515625" customWidth="1"/>
    <col min="34" max="34" width="28.28515625" style="7" customWidth="1"/>
    <col min="35" max="35" width="20.7109375" style="7" customWidth="1"/>
    <col min="36" max="36" width="19.5703125" style="7" customWidth="1"/>
    <col min="37" max="37" width="23.28515625" style="7" bestFit="1" customWidth="1"/>
    <col min="38" max="39" width="19.5703125" style="7" customWidth="1"/>
  </cols>
  <sheetData>
    <row r="1" spans="1:39" ht="25.5" customHeight="1" x14ac:dyDescent="0.25">
      <c r="A1" s="24" t="s">
        <v>15</v>
      </c>
      <c r="B1" s="24"/>
      <c r="C1" s="24"/>
      <c r="D1" s="24"/>
      <c r="E1" s="24"/>
      <c r="F1" s="24"/>
      <c r="G1" s="24"/>
      <c r="H1" s="25" t="s">
        <v>17</v>
      </c>
      <c r="I1" s="25"/>
      <c r="J1" s="25"/>
      <c r="K1" s="25"/>
      <c r="L1" s="25"/>
      <c r="M1" s="25"/>
      <c r="N1" s="25"/>
      <c r="O1" s="25"/>
      <c r="P1" s="25"/>
      <c r="Q1" s="26" t="s">
        <v>71</v>
      </c>
      <c r="R1" s="26"/>
      <c r="S1" s="26"/>
      <c r="T1" s="26"/>
      <c r="U1" s="26"/>
      <c r="V1" s="26"/>
      <c r="W1" s="26"/>
      <c r="X1" s="26"/>
      <c r="Y1" s="26"/>
      <c r="Z1" s="26"/>
      <c r="AA1" s="27" t="s">
        <v>18</v>
      </c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</row>
    <row r="2" spans="1:39" s="3" customFormat="1" x14ac:dyDescent="0.25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4" t="s">
        <v>7</v>
      </c>
      <c r="I2" s="4" t="s">
        <v>28</v>
      </c>
      <c r="J2" s="4" t="s">
        <v>29</v>
      </c>
      <c r="K2" s="4" t="s">
        <v>30</v>
      </c>
      <c r="L2" s="4" t="s">
        <v>31</v>
      </c>
      <c r="M2" s="4" t="s">
        <v>32</v>
      </c>
      <c r="N2" s="4" t="s">
        <v>33</v>
      </c>
      <c r="O2" s="4" t="s">
        <v>34</v>
      </c>
      <c r="P2" s="4" t="s">
        <v>66</v>
      </c>
      <c r="Q2" s="9" t="s">
        <v>41</v>
      </c>
      <c r="R2" s="11" t="s">
        <v>42</v>
      </c>
      <c r="S2" s="9" t="s">
        <v>43</v>
      </c>
      <c r="T2" s="14" t="s">
        <v>44</v>
      </c>
      <c r="U2" s="14" t="s">
        <v>45</v>
      </c>
      <c r="V2" s="19" t="s">
        <v>10</v>
      </c>
      <c r="W2" s="19" t="s">
        <v>11</v>
      </c>
      <c r="X2" s="9" t="s">
        <v>46</v>
      </c>
      <c r="Y2" s="9" t="s">
        <v>8</v>
      </c>
      <c r="Z2" s="9" t="s">
        <v>9</v>
      </c>
      <c r="AA2" s="10" t="s">
        <v>57</v>
      </c>
      <c r="AB2" s="10" t="s">
        <v>74</v>
      </c>
      <c r="AC2" s="10" t="s">
        <v>75</v>
      </c>
      <c r="AD2" s="10" t="s">
        <v>76</v>
      </c>
      <c r="AE2" s="10" t="s">
        <v>77</v>
      </c>
      <c r="AF2" s="10" t="s">
        <v>79</v>
      </c>
      <c r="AG2" s="10" t="s">
        <v>78</v>
      </c>
      <c r="AH2" s="6" t="s">
        <v>72</v>
      </c>
      <c r="AI2" s="6" t="s">
        <v>73</v>
      </c>
      <c r="AJ2" s="6" t="s">
        <v>58</v>
      </c>
      <c r="AK2" s="6" t="s">
        <v>67</v>
      </c>
      <c r="AL2" s="6" t="s">
        <v>59</v>
      </c>
      <c r="AM2" s="6" t="s">
        <v>70</v>
      </c>
    </row>
    <row r="3" spans="1:39" s="3" customFormat="1" x14ac:dyDescent="0.25">
      <c r="A3" s="5" t="s">
        <v>19</v>
      </c>
      <c r="B3" s="5" t="s">
        <v>20</v>
      </c>
      <c r="C3" s="5" t="s">
        <v>21</v>
      </c>
      <c r="D3" s="5" t="s">
        <v>22</v>
      </c>
      <c r="E3" s="5" t="s">
        <v>23</v>
      </c>
      <c r="F3" s="5" t="s">
        <v>24</v>
      </c>
      <c r="G3" s="5" t="s">
        <v>25</v>
      </c>
      <c r="H3" s="4" t="s">
        <v>27</v>
      </c>
      <c r="I3" s="4" t="s">
        <v>26</v>
      </c>
      <c r="J3" s="4" t="s">
        <v>35</v>
      </c>
      <c r="K3" s="4" t="s">
        <v>36</v>
      </c>
      <c r="L3" s="4" t="s">
        <v>37</v>
      </c>
      <c r="M3" s="4" t="s">
        <v>38</v>
      </c>
      <c r="N3" s="4" t="s">
        <v>39</v>
      </c>
      <c r="O3" s="4" t="s">
        <v>40</v>
      </c>
      <c r="P3" s="4" t="s">
        <v>65</v>
      </c>
      <c r="Q3" s="9" t="s">
        <v>56</v>
      </c>
      <c r="R3" s="11" t="s">
        <v>55</v>
      </c>
      <c r="S3" s="9" t="s">
        <v>54</v>
      </c>
      <c r="T3" s="14" t="s">
        <v>53</v>
      </c>
      <c r="U3" s="14" t="s">
        <v>52</v>
      </c>
      <c r="V3" s="19" t="s">
        <v>51</v>
      </c>
      <c r="W3" s="19" t="s">
        <v>50</v>
      </c>
      <c r="X3" s="9" t="s">
        <v>49</v>
      </c>
      <c r="Y3" s="9" t="s">
        <v>48</v>
      </c>
      <c r="Z3" s="9" t="s">
        <v>47</v>
      </c>
      <c r="AA3" s="10" t="s">
        <v>60</v>
      </c>
      <c r="AB3" s="10" t="s">
        <v>61</v>
      </c>
      <c r="AC3" s="10" t="s">
        <v>61</v>
      </c>
      <c r="AD3" s="10" t="s">
        <v>61</v>
      </c>
      <c r="AE3" s="10" t="s">
        <v>61</v>
      </c>
      <c r="AF3" s="10" t="s">
        <v>61</v>
      </c>
      <c r="AG3" s="10" t="s">
        <v>61</v>
      </c>
      <c r="AH3" s="6" t="s">
        <v>62</v>
      </c>
      <c r="AI3" s="6" t="s">
        <v>62</v>
      </c>
      <c r="AJ3" s="6" t="s">
        <v>63</v>
      </c>
      <c r="AK3" s="6" t="s">
        <v>68</v>
      </c>
      <c r="AL3" s="6" t="s">
        <v>64</v>
      </c>
      <c r="AM3" s="6" t="s">
        <v>69</v>
      </c>
    </row>
    <row r="4" spans="1:39" x14ac:dyDescent="0.25">
      <c r="A4" t="s">
        <v>128</v>
      </c>
      <c r="B4" t="s">
        <v>12</v>
      </c>
      <c r="C4" s="20" t="s">
        <v>178</v>
      </c>
      <c r="D4" t="str">
        <f>PARAMETRES!$B$3</f>
        <v>Droit de voirie ODP 2023</v>
      </c>
      <c r="E4">
        <v>2</v>
      </c>
      <c r="F4" t="s">
        <v>13</v>
      </c>
      <c r="G4" t="s">
        <v>14</v>
      </c>
      <c r="H4">
        <f>PARAMETRES!$B$4</f>
        <v>800</v>
      </c>
      <c r="I4" s="1" t="s">
        <v>16</v>
      </c>
      <c r="J4" s="2" t="s">
        <v>129</v>
      </c>
      <c r="K4" t="str">
        <f>PARAMETRES!$B$3</f>
        <v>Droit de voirie ODP 2023</v>
      </c>
      <c r="Q4" t="s">
        <v>88</v>
      </c>
      <c r="R4" s="12">
        <v>1</v>
      </c>
      <c r="S4" t="s">
        <v>89</v>
      </c>
      <c r="T4" s="1">
        <v>44927</v>
      </c>
      <c r="U4" s="1">
        <v>45291</v>
      </c>
      <c r="V4" s="22">
        <v>84</v>
      </c>
      <c r="W4" s="23">
        <v>15.6</v>
      </c>
      <c r="Z4" s="17">
        <f>ROUND(FILIEN[[#This Row],[Prix unitaire]]*FILIEN[[#This Row],[Quantité]]*100,0)/100</f>
        <v>1310.4000000000001</v>
      </c>
      <c r="AA4">
        <v>1</v>
      </c>
      <c r="AB4">
        <v>70</v>
      </c>
      <c r="AC4" s="18">
        <v>70321</v>
      </c>
      <c r="AD4" s="18">
        <v>845</v>
      </c>
      <c r="AF4" t="s">
        <v>12</v>
      </c>
      <c r="AG4" t="s">
        <v>12</v>
      </c>
      <c r="AH4" s="7" t="str">
        <f>PARAMETRES!$B$6</f>
        <v>GEST_30</v>
      </c>
      <c r="AI4" s="7" t="str">
        <f>PARAMETRES!$B$7</f>
        <v>BN5</v>
      </c>
      <c r="AJ4" s="8"/>
      <c r="AK4" s="8" t="s">
        <v>103</v>
      </c>
      <c r="AL4" s="21">
        <v>6791.2</v>
      </c>
    </row>
    <row r="5" spans="1:39" x14ac:dyDescent="0.25">
      <c r="C5" s="20"/>
      <c r="I5" s="1"/>
      <c r="J5" s="2"/>
      <c r="Q5" t="s">
        <v>88</v>
      </c>
      <c r="R5" s="13">
        <v>2</v>
      </c>
      <c r="S5" t="s">
        <v>89</v>
      </c>
      <c r="T5" s="1">
        <v>44927</v>
      </c>
      <c r="U5" s="1">
        <v>45291</v>
      </c>
      <c r="V5" s="22">
        <v>120</v>
      </c>
      <c r="W5" s="23">
        <v>15.6</v>
      </c>
      <c r="Z5" s="17">
        <f>ROUND(FILIEN[[#This Row],[Prix unitaire]]*FILIEN[[#This Row],[Quantité]]*100,0)/100</f>
        <v>1872</v>
      </c>
      <c r="AC5" s="18"/>
      <c r="AD5" s="18"/>
      <c r="AJ5" s="8"/>
      <c r="AK5" s="8"/>
      <c r="AL5" s="21"/>
    </row>
    <row r="6" spans="1:39" x14ac:dyDescent="0.25">
      <c r="C6" s="20"/>
      <c r="I6" s="1"/>
      <c r="J6" s="2"/>
      <c r="Q6" s="7" t="s">
        <v>88</v>
      </c>
      <c r="R6" s="13">
        <v>3</v>
      </c>
      <c r="S6" t="s">
        <v>92</v>
      </c>
      <c r="T6" s="1">
        <v>44927</v>
      </c>
      <c r="U6" s="1">
        <v>45291</v>
      </c>
      <c r="V6" s="22">
        <v>48</v>
      </c>
      <c r="W6" s="23">
        <v>15.6</v>
      </c>
      <c r="Z6" s="17">
        <f>ROUND(FILIEN[[#This Row],[Prix unitaire]]*FILIEN[[#This Row],[Quantité]]*100,0)/100</f>
        <v>748.8</v>
      </c>
      <c r="AC6" s="18"/>
      <c r="AD6" s="18"/>
      <c r="AJ6" s="8"/>
      <c r="AK6" s="8"/>
      <c r="AL6" s="21"/>
    </row>
    <row r="7" spans="1:39" x14ac:dyDescent="0.25">
      <c r="C7" s="20"/>
      <c r="I7" s="1"/>
      <c r="J7" s="2"/>
      <c r="Q7" s="7" t="s">
        <v>88</v>
      </c>
      <c r="R7" s="13">
        <v>4</v>
      </c>
      <c r="S7" s="7" t="s">
        <v>95</v>
      </c>
      <c r="T7" s="1">
        <v>44927</v>
      </c>
      <c r="U7" s="1">
        <v>45291</v>
      </c>
      <c r="V7" s="22">
        <v>1144</v>
      </c>
      <c r="W7" s="22">
        <v>2.5</v>
      </c>
      <c r="Z7" s="17">
        <f>ROUND(FILIEN[[#This Row],[Prix unitaire]]*FILIEN[[#This Row],[Quantité]]*100,0)/100</f>
        <v>2860</v>
      </c>
      <c r="AC7" s="18"/>
      <c r="AD7" s="18"/>
      <c r="AK7" s="8"/>
      <c r="AL7" s="21"/>
    </row>
    <row r="8" spans="1:39" x14ac:dyDescent="0.25">
      <c r="A8" t="s">
        <v>130</v>
      </c>
      <c r="B8" t="s">
        <v>12</v>
      </c>
      <c r="C8" s="20" t="s">
        <v>179</v>
      </c>
      <c r="D8" t="str">
        <f>PARAMETRES!$B$3</f>
        <v>Droit de voirie ODP 2023</v>
      </c>
      <c r="E8">
        <v>2</v>
      </c>
      <c r="F8" t="s">
        <v>13</v>
      </c>
      <c r="G8" t="s">
        <v>14</v>
      </c>
      <c r="H8">
        <f>PARAMETRES!$B$4</f>
        <v>800</v>
      </c>
      <c r="I8" s="1" t="s">
        <v>16</v>
      </c>
      <c r="J8" s="2" t="s">
        <v>131</v>
      </c>
      <c r="K8" t="str">
        <f>PARAMETRES!$B$3</f>
        <v>Droit de voirie ODP 2023</v>
      </c>
      <c r="Q8" s="7" t="s">
        <v>88</v>
      </c>
      <c r="R8" s="13">
        <v>1</v>
      </c>
      <c r="S8" s="7" t="s">
        <v>93</v>
      </c>
      <c r="T8" s="1">
        <v>44927</v>
      </c>
      <c r="U8" s="1">
        <v>45291</v>
      </c>
      <c r="V8" s="22">
        <v>3</v>
      </c>
      <c r="W8" s="22">
        <v>19.34</v>
      </c>
      <c r="Z8" s="17">
        <f>ROUND(FILIEN[[#This Row],[Prix unitaire]]*FILIEN[[#This Row],[Quantité]]*100,0)/100</f>
        <v>58.02</v>
      </c>
      <c r="AA8">
        <v>1</v>
      </c>
      <c r="AB8">
        <v>70</v>
      </c>
      <c r="AC8" s="18">
        <v>70321</v>
      </c>
      <c r="AD8" s="18">
        <v>845</v>
      </c>
      <c r="AF8" t="s">
        <v>12</v>
      </c>
      <c r="AG8" t="s">
        <v>12</v>
      </c>
      <c r="AH8" s="7" t="str">
        <f>PARAMETRES!$B$6</f>
        <v>GEST_30</v>
      </c>
      <c r="AI8" s="7" t="str">
        <f>PARAMETRES!$B$7</f>
        <v>BN5</v>
      </c>
      <c r="AK8" s="8" t="s">
        <v>104</v>
      </c>
      <c r="AL8" s="21">
        <v>58.02</v>
      </c>
    </row>
    <row r="9" spans="1:39" x14ac:dyDescent="0.25">
      <c r="A9" t="s">
        <v>132</v>
      </c>
      <c r="B9" t="s">
        <v>12</v>
      </c>
      <c r="C9" s="20" t="s">
        <v>98</v>
      </c>
      <c r="D9" t="str">
        <f>PARAMETRES!$B$3</f>
        <v>Droit de voirie ODP 2023</v>
      </c>
      <c r="E9">
        <v>2</v>
      </c>
      <c r="F9" t="s">
        <v>13</v>
      </c>
      <c r="G9" t="s">
        <v>14</v>
      </c>
      <c r="H9">
        <f>PARAMETRES!$B$4</f>
        <v>800</v>
      </c>
      <c r="I9" s="1" t="s">
        <v>16</v>
      </c>
      <c r="J9" s="2" t="s">
        <v>133</v>
      </c>
      <c r="K9" t="str">
        <f>PARAMETRES!$B$3</f>
        <v>Droit de voirie ODP 2023</v>
      </c>
      <c r="Q9" s="7" t="s">
        <v>88</v>
      </c>
      <c r="R9" s="13">
        <v>1</v>
      </c>
      <c r="S9" s="7" t="s">
        <v>90</v>
      </c>
      <c r="T9" s="1">
        <v>44927</v>
      </c>
      <c r="U9" s="1">
        <v>45291</v>
      </c>
      <c r="V9" s="22">
        <v>26.1</v>
      </c>
      <c r="W9" s="22">
        <v>15.6</v>
      </c>
      <c r="Z9" s="17">
        <f>ROUND(FILIEN[[#This Row],[Prix unitaire]]*FILIEN[[#This Row],[Quantité]]*100,0)/100</f>
        <v>407.16</v>
      </c>
      <c r="AA9">
        <v>1</v>
      </c>
      <c r="AB9">
        <v>70</v>
      </c>
      <c r="AC9" s="18">
        <v>70321</v>
      </c>
      <c r="AD9" s="18">
        <v>845</v>
      </c>
      <c r="AF9" t="s">
        <v>12</v>
      </c>
      <c r="AG9" t="s">
        <v>12</v>
      </c>
      <c r="AH9" s="7" t="str">
        <f>PARAMETRES!$B$6</f>
        <v>GEST_30</v>
      </c>
      <c r="AI9" s="7" t="str">
        <f>PARAMETRES!$B$7</f>
        <v>BN5</v>
      </c>
      <c r="AK9" s="8" t="s">
        <v>105</v>
      </c>
      <c r="AL9" s="21">
        <v>407.16</v>
      </c>
    </row>
    <row r="10" spans="1:39" x14ac:dyDescent="0.25">
      <c r="A10" t="s">
        <v>134</v>
      </c>
      <c r="B10" t="s">
        <v>12</v>
      </c>
      <c r="C10" s="20" t="s">
        <v>180</v>
      </c>
      <c r="D10" t="str">
        <f>PARAMETRES!$B$3</f>
        <v>Droit de voirie ODP 2023</v>
      </c>
      <c r="E10">
        <v>2</v>
      </c>
      <c r="F10" t="s">
        <v>13</v>
      </c>
      <c r="G10" t="s">
        <v>14</v>
      </c>
      <c r="H10">
        <f>PARAMETRES!$B$4</f>
        <v>800</v>
      </c>
      <c r="I10" s="1" t="s">
        <v>16</v>
      </c>
      <c r="J10" s="2" t="s">
        <v>135</v>
      </c>
      <c r="K10" t="str">
        <f>PARAMETRES!$B$3</f>
        <v>Droit de voirie ODP 2023</v>
      </c>
      <c r="Q10" s="7" t="s">
        <v>88</v>
      </c>
      <c r="R10" s="13">
        <v>1</v>
      </c>
      <c r="S10" s="7" t="s">
        <v>89</v>
      </c>
      <c r="T10" s="1">
        <v>44927</v>
      </c>
      <c r="U10" s="1">
        <v>45291</v>
      </c>
      <c r="V10" s="22">
        <v>150</v>
      </c>
      <c r="W10" s="22">
        <v>15.6</v>
      </c>
      <c r="Z10" s="17">
        <f>ROUND(FILIEN[[#This Row],[Prix unitaire]]*FILIEN[[#This Row],[Quantité]]*100,0)/100</f>
        <v>2340</v>
      </c>
      <c r="AA10">
        <v>1</v>
      </c>
      <c r="AB10">
        <v>70</v>
      </c>
      <c r="AC10" s="18">
        <v>70321</v>
      </c>
      <c r="AD10" s="18">
        <v>845</v>
      </c>
      <c r="AF10" t="s">
        <v>12</v>
      </c>
      <c r="AG10" t="s">
        <v>12</v>
      </c>
      <c r="AH10" s="7" t="str">
        <f>PARAMETRES!$B$6</f>
        <v>GEST_30</v>
      </c>
      <c r="AI10" s="7" t="str">
        <f>PARAMETRES!$B$7</f>
        <v>BN5</v>
      </c>
      <c r="AK10" s="8" t="s">
        <v>106</v>
      </c>
      <c r="AL10" s="21">
        <v>8424</v>
      </c>
    </row>
    <row r="11" spans="1:39" x14ac:dyDescent="0.25">
      <c r="C11" s="20"/>
      <c r="I11" s="1"/>
      <c r="J11" s="2"/>
      <c r="Q11" s="7" t="s">
        <v>88</v>
      </c>
      <c r="R11" s="13">
        <v>2</v>
      </c>
      <c r="S11" s="7" t="s">
        <v>94</v>
      </c>
      <c r="T11" s="1">
        <v>44927</v>
      </c>
      <c r="U11" s="1">
        <v>45291</v>
      </c>
      <c r="V11" s="22">
        <v>5</v>
      </c>
      <c r="W11" s="22">
        <v>280.8</v>
      </c>
      <c r="Z11" s="17">
        <f>ROUND(FILIEN[[#This Row],[Prix unitaire]]*FILIEN[[#This Row],[Quantité]]*100,0)/100</f>
        <v>1404</v>
      </c>
      <c r="AC11" s="18"/>
      <c r="AD11" s="18"/>
      <c r="AK11" s="8"/>
      <c r="AL11" s="21"/>
    </row>
    <row r="12" spans="1:39" x14ac:dyDescent="0.25">
      <c r="C12" s="20"/>
      <c r="I12" s="1"/>
      <c r="J12" s="2"/>
      <c r="Q12" s="7" t="s">
        <v>88</v>
      </c>
      <c r="R12" s="13">
        <v>3</v>
      </c>
      <c r="S12" s="7" t="s">
        <v>89</v>
      </c>
      <c r="T12" s="1">
        <v>44927</v>
      </c>
      <c r="U12" s="1">
        <v>45291</v>
      </c>
      <c r="V12" s="22">
        <v>300</v>
      </c>
      <c r="W12" s="22">
        <v>15.6</v>
      </c>
      <c r="Z12" s="17">
        <f>ROUND(FILIEN[[#This Row],[Prix unitaire]]*FILIEN[[#This Row],[Quantité]]*100,0)/100</f>
        <v>4680</v>
      </c>
      <c r="AC12" s="18"/>
      <c r="AD12" s="18"/>
      <c r="AK12" s="8"/>
      <c r="AL12" s="21"/>
    </row>
    <row r="13" spans="1:39" x14ac:dyDescent="0.25">
      <c r="A13" t="s">
        <v>136</v>
      </c>
      <c r="B13" t="s">
        <v>12</v>
      </c>
      <c r="C13" s="20" t="s">
        <v>181</v>
      </c>
      <c r="D13" t="str">
        <f>PARAMETRES!$B$3</f>
        <v>Droit de voirie ODP 2023</v>
      </c>
      <c r="E13">
        <v>2</v>
      </c>
      <c r="F13" t="s">
        <v>13</v>
      </c>
      <c r="G13" t="s">
        <v>14</v>
      </c>
      <c r="H13">
        <f>PARAMETRES!$B$4</f>
        <v>800</v>
      </c>
      <c r="I13" s="1" t="s">
        <v>16</v>
      </c>
      <c r="J13" s="2" t="s">
        <v>137</v>
      </c>
      <c r="K13" t="str">
        <f>PARAMETRES!$B$3</f>
        <v>Droit de voirie ODP 2023</v>
      </c>
      <c r="Q13" s="7" t="s">
        <v>88</v>
      </c>
      <c r="R13" s="13">
        <v>1</v>
      </c>
      <c r="S13" s="7" t="s">
        <v>94</v>
      </c>
      <c r="T13" s="1">
        <v>44927</v>
      </c>
      <c r="U13" s="1">
        <v>45291</v>
      </c>
      <c r="V13" s="22">
        <v>1</v>
      </c>
      <c r="W13" s="22">
        <v>280.8</v>
      </c>
      <c r="Z13" s="17">
        <f>ROUND(FILIEN[[#This Row],[Prix unitaire]]*FILIEN[[#This Row],[Quantité]]*100,0)/100</f>
        <v>280.8</v>
      </c>
      <c r="AA13">
        <v>1</v>
      </c>
      <c r="AB13">
        <v>70</v>
      </c>
      <c r="AC13" s="18">
        <v>70321</v>
      </c>
      <c r="AD13" s="18">
        <v>845</v>
      </c>
      <c r="AF13" t="s">
        <v>12</v>
      </c>
      <c r="AG13" t="s">
        <v>12</v>
      </c>
      <c r="AH13" s="7" t="str">
        <f>PARAMETRES!$B$6</f>
        <v>GEST_30</v>
      </c>
      <c r="AI13" s="7" t="str">
        <f>PARAMETRES!$B$7</f>
        <v>BN5</v>
      </c>
      <c r="AK13" s="8" t="s">
        <v>107</v>
      </c>
      <c r="AL13" s="21">
        <v>280.8</v>
      </c>
    </row>
    <row r="14" spans="1:39" x14ac:dyDescent="0.25">
      <c r="A14" t="s">
        <v>138</v>
      </c>
      <c r="B14" t="s">
        <v>12</v>
      </c>
      <c r="C14" s="20" t="s">
        <v>182</v>
      </c>
      <c r="D14" t="str">
        <f>PARAMETRES!$B$3</f>
        <v>Droit de voirie ODP 2023</v>
      </c>
      <c r="E14">
        <v>2</v>
      </c>
      <c r="F14" t="s">
        <v>13</v>
      </c>
      <c r="G14" t="s">
        <v>14</v>
      </c>
      <c r="H14">
        <f>PARAMETRES!$B$4</f>
        <v>800</v>
      </c>
      <c r="I14" s="1" t="s">
        <v>16</v>
      </c>
      <c r="J14" s="2" t="s">
        <v>139</v>
      </c>
      <c r="K14" t="str">
        <f>PARAMETRES!$B$3</f>
        <v>Droit de voirie ODP 2023</v>
      </c>
      <c r="Q14" s="7" t="s">
        <v>88</v>
      </c>
      <c r="R14" s="13">
        <v>1</v>
      </c>
      <c r="S14" s="7" t="s">
        <v>90</v>
      </c>
      <c r="T14" s="1">
        <v>44927</v>
      </c>
      <c r="U14" s="1">
        <v>45291</v>
      </c>
      <c r="V14" s="22">
        <v>242</v>
      </c>
      <c r="W14" s="22">
        <v>15.6</v>
      </c>
      <c r="Z14" s="17">
        <f>ROUND(FILIEN[[#This Row],[Prix unitaire]]*FILIEN[[#This Row],[Quantité]]*100,0)/100</f>
        <v>3775.2</v>
      </c>
      <c r="AA14">
        <v>1</v>
      </c>
      <c r="AB14">
        <v>70</v>
      </c>
      <c r="AC14" s="18">
        <v>70321</v>
      </c>
      <c r="AD14" s="18">
        <v>845</v>
      </c>
      <c r="AF14" t="s">
        <v>12</v>
      </c>
      <c r="AG14" t="s">
        <v>12</v>
      </c>
      <c r="AH14" s="7" t="str">
        <f>PARAMETRES!$B$6</f>
        <v>GEST_30</v>
      </c>
      <c r="AI14" s="7" t="str">
        <f>PARAMETRES!$B$7</f>
        <v>BN5</v>
      </c>
      <c r="AK14" s="8" t="s">
        <v>108</v>
      </c>
      <c r="AL14" s="21">
        <v>5670.52</v>
      </c>
    </row>
    <row r="15" spans="1:39" x14ac:dyDescent="0.25">
      <c r="C15" s="20"/>
      <c r="I15" s="1"/>
      <c r="J15" s="2"/>
      <c r="Q15" s="7" t="s">
        <v>88</v>
      </c>
      <c r="R15" s="13">
        <v>2</v>
      </c>
      <c r="S15" s="7" t="s">
        <v>93</v>
      </c>
      <c r="T15" s="1">
        <v>44927</v>
      </c>
      <c r="U15" s="1">
        <v>45291</v>
      </c>
      <c r="V15" s="22">
        <v>98</v>
      </c>
      <c r="W15" s="22">
        <v>19.34</v>
      </c>
      <c r="Z15" s="17">
        <f>ROUND(FILIEN[[#This Row],[Prix unitaire]]*FILIEN[[#This Row],[Quantité]]*100,0)/100</f>
        <v>1895.32</v>
      </c>
      <c r="AC15" s="18"/>
      <c r="AD15" s="18"/>
      <c r="AK15" s="8"/>
      <c r="AL15" s="21"/>
    </row>
    <row r="16" spans="1:39" x14ac:dyDescent="0.25">
      <c r="A16" t="s">
        <v>140</v>
      </c>
      <c r="B16" t="s">
        <v>12</v>
      </c>
      <c r="C16" s="20" t="s">
        <v>101</v>
      </c>
      <c r="D16" t="str">
        <f>PARAMETRES!$B$3</f>
        <v>Droit de voirie ODP 2023</v>
      </c>
      <c r="E16">
        <v>2</v>
      </c>
      <c r="F16" t="s">
        <v>13</v>
      </c>
      <c r="G16" t="s">
        <v>14</v>
      </c>
      <c r="H16">
        <f>PARAMETRES!$B$4</f>
        <v>800</v>
      </c>
      <c r="I16" s="1" t="s">
        <v>16</v>
      </c>
      <c r="J16" s="2" t="s">
        <v>141</v>
      </c>
      <c r="K16" t="str">
        <f>PARAMETRES!$B$3</f>
        <v>Droit de voirie ODP 2023</v>
      </c>
      <c r="Q16" s="7" t="s">
        <v>88</v>
      </c>
      <c r="R16" s="13">
        <v>1</v>
      </c>
      <c r="S16" s="7" t="s">
        <v>92</v>
      </c>
      <c r="T16" s="1">
        <v>44927</v>
      </c>
      <c r="U16" s="1">
        <v>45291</v>
      </c>
      <c r="V16" s="22">
        <v>13</v>
      </c>
      <c r="W16" s="22">
        <v>15.6</v>
      </c>
      <c r="Z16" s="17">
        <f>ROUND(FILIEN[[#This Row],[Prix unitaire]]*FILIEN[[#This Row],[Quantité]]*100,0)/100</f>
        <v>202.8</v>
      </c>
      <c r="AA16">
        <v>1</v>
      </c>
      <c r="AB16">
        <v>70</v>
      </c>
      <c r="AC16" s="18">
        <v>70321</v>
      </c>
      <c r="AD16" s="18">
        <v>845</v>
      </c>
      <c r="AF16" t="s">
        <v>12</v>
      </c>
      <c r="AG16" t="s">
        <v>12</v>
      </c>
      <c r="AH16" s="7" t="str">
        <f>PARAMETRES!$B$6</f>
        <v>GEST_30</v>
      </c>
      <c r="AI16" s="7" t="str">
        <f>PARAMETRES!$B$7</f>
        <v>BN5</v>
      </c>
      <c r="AK16" s="8" t="s">
        <v>109</v>
      </c>
      <c r="AL16" s="21">
        <v>690.3</v>
      </c>
    </row>
    <row r="17" spans="1:38" x14ac:dyDescent="0.25">
      <c r="C17" s="20"/>
      <c r="I17" s="1"/>
      <c r="J17" s="2"/>
      <c r="Q17" s="7" t="s">
        <v>88</v>
      </c>
      <c r="R17" s="13">
        <v>2</v>
      </c>
      <c r="S17" s="7" t="s">
        <v>95</v>
      </c>
      <c r="T17" s="1">
        <v>44927</v>
      </c>
      <c r="U17" s="1">
        <v>45291</v>
      </c>
      <c r="V17" s="22">
        <v>195</v>
      </c>
      <c r="W17" s="22">
        <v>2.5</v>
      </c>
      <c r="Z17" s="17">
        <f>ROUND(FILIEN[[#This Row],[Prix unitaire]]*FILIEN[[#This Row],[Quantité]]*100,0)/100</f>
        <v>487.5</v>
      </c>
      <c r="AC17" s="18"/>
      <c r="AD17" s="18"/>
      <c r="AK17" s="8"/>
      <c r="AL17" s="21"/>
    </row>
    <row r="18" spans="1:38" x14ac:dyDescent="0.25">
      <c r="A18" t="s">
        <v>142</v>
      </c>
      <c r="B18" t="s">
        <v>12</v>
      </c>
      <c r="C18" s="20" t="s">
        <v>99</v>
      </c>
      <c r="D18" t="str">
        <f>PARAMETRES!$B$3</f>
        <v>Droit de voirie ODP 2023</v>
      </c>
      <c r="E18">
        <v>2</v>
      </c>
      <c r="F18" t="s">
        <v>13</v>
      </c>
      <c r="G18" t="s">
        <v>14</v>
      </c>
      <c r="H18">
        <f>PARAMETRES!$B$4</f>
        <v>800</v>
      </c>
      <c r="I18" s="1" t="s">
        <v>16</v>
      </c>
      <c r="J18" s="2" t="s">
        <v>143</v>
      </c>
      <c r="K18" t="str">
        <f>PARAMETRES!$B$3</f>
        <v>Droit de voirie ODP 2023</v>
      </c>
      <c r="Q18" s="7" t="s">
        <v>88</v>
      </c>
      <c r="R18" s="13">
        <v>1</v>
      </c>
      <c r="S18" s="7" t="s">
        <v>93</v>
      </c>
      <c r="T18" s="1">
        <v>44927</v>
      </c>
      <c r="U18" s="1">
        <v>45291</v>
      </c>
      <c r="V18" s="22">
        <v>2</v>
      </c>
      <c r="W18" s="22">
        <v>19.34</v>
      </c>
      <c r="Z18" s="17">
        <f>ROUND(FILIEN[[#This Row],[Prix unitaire]]*FILIEN[[#This Row],[Quantité]]*100,0)/100</f>
        <v>38.68</v>
      </c>
      <c r="AA18">
        <v>1</v>
      </c>
      <c r="AB18">
        <v>70</v>
      </c>
      <c r="AC18" s="18">
        <v>70321</v>
      </c>
      <c r="AD18" s="18">
        <v>845</v>
      </c>
      <c r="AF18" t="s">
        <v>12</v>
      </c>
      <c r="AG18" t="s">
        <v>12</v>
      </c>
      <c r="AH18" s="7" t="str">
        <f>PARAMETRES!$B$6</f>
        <v>GEST_30</v>
      </c>
      <c r="AI18" s="7" t="str">
        <f>PARAMETRES!$B$7</f>
        <v>BN5</v>
      </c>
      <c r="AK18" s="8" t="s">
        <v>110</v>
      </c>
      <c r="AL18" s="21">
        <v>476.4</v>
      </c>
    </row>
    <row r="19" spans="1:38" x14ac:dyDescent="0.25">
      <c r="C19" s="20"/>
      <c r="I19" s="1"/>
      <c r="J19" s="2"/>
      <c r="Q19" s="7" t="s">
        <v>88</v>
      </c>
      <c r="R19" s="13">
        <v>2</v>
      </c>
      <c r="S19" s="7" t="s">
        <v>90</v>
      </c>
      <c r="T19" s="1">
        <v>44927</v>
      </c>
      <c r="U19" s="1">
        <v>45291</v>
      </c>
      <c r="V19" s="22">
        <v>23.1</v>
      </c>
      <c r="W19" s="22">
        <v>15.6</v>
      </c>
      <c r="Z19" s="17">
        <f>ROUND(FILIEN[[#This Row],[Prix unitaire]]*FILIEN[[#This Row],[Quantité]]*100,0)/100</f>
        <v>360.36</v>
      </c>
      <c r="AC19" s="18"/>
      <c r="AD19" s="18"/>
      <c r="AK19" s="8"/>
      <c r="AL19" s="21"/>
    </row>
    <row r="20" spans="1:38" x14ac:dyDescent="0.25">
      <c r="C20" s="20"/>
      <c r="I20" s="1"/>
      <c r="J20" s="2"/>
      <c r="Q20" s="7" t="s">
        <v>88</v>
      </c>
      <c r="R20" s="13">
        <v>3</v>
      </c>
      <c r="S20" s="7" t="s">
        <v>93</v>
      </c>
      <c r="T20" s="1">
        <v>44927</v>
      </c>
      <c r="U20" s="1">
        <v>45291</v>
      </c>
      <c r="V20" s="22">
        <v>4</v>
      </c>
      <c r="W20" s="22">
        <v>19.34</v>
      </c>
      <c r="Z20" s="17">
        <f>ROUND(FILIEN[[#This Row],[Prix unitaire]]*FILIEN[[#This Row],[Quantité]]*100,0)/100</f>
        <v>77.36</v>
      </c>
      <c r="AC20" s="18"/>
      <c r="AD20" s="18"/>
      <c r="AK20" s="8"/>
      <c r="AL20" s="21"/>
    </row>
    <row r="21" spans="1:38" x14ac:dyDescent="0.25">
      <c r="A21" t="s">
        <v>144</v>
      </c>
      <c r="B21" t="s">
        <v>12</v>
      </c>
      <c r="C21" s="20" t="s">
        <v>100</v>
      </c>
      <c r="D21" t="str">
        <f>PARAMETRES!$B$3</f>
        <v>Droit de voirie ODP 2023</v>
      </c>
      <c r="E21">
        <v>2</v>
      </c>
      <c r="F21" t="s">
        <v>13</v>
      </c>
      <c r="G21" t="s">
        <v>14</v>
      </c>
      <c r="H21">
        <f>PARAMETRES!$B$4</f>
        <v>800</v>
      </c>
      <c r="I21" s="1" t="s">
        <v>16</v>
      </c>
      <c r="J21" s="2" t="s">
        <v>145</v>
      </c>
      <c r="K21" t="str">
        <f>PARAMETRES!$B$3</f>
        <v>Droit de voirie ODP 2023</v>
      </c>
      <c r="Q21" s="7" t="s">
        <v>88</v>
      </c>
      <c r="R21" s="13">
        <v>1</v>
      </c>
      <c r="S21" s="7" t="s">
        <v>89</v>
      </c>
      <c r="T21" s="1">
        <v>44927</v>
      </c>
      <c r="U21" s="1">
        <v>45291</v>
      </c>
      <c r="V21" s="22">
        <v>740</v>
      </c>
      <c r="W21" s="22">
        <v>15.6</v>
      </c>
      <c r="Z21" s="17">
        <f>ROUND(FILIEN[[#This Row],[Prix unitaire]]*FILIEN[[#This Row],[Quantité]]*100,0)/100</f>
        <v>11544</v>
      </c>
      <c r="AA21">
        <v>1</v>
      </c>
      <c r="AB21">
        <v>70</v>
      </c>
      <c r="AC21" s="18">
        <v>70321</v>
      </c>
      <c r="AD21" s="18">
        <v>845</v>
      </c>
      <c r="AF21" t="s">
        <v>12</v>
      </c>
      <c r="AG21" t="s">
        <v>12</v>
      </c>
      <c r="AH21" s="7" t="str">
        <f>PARAMETRES!$B$6</f>
        <v>GEST_30</v>
      </c>
      <c r="AI21" s="7" t="str">
        <f>PARAMETRES!$B$7</f>
        <v>BN5</v>
      </c>
      <c r="AK21" s="8" t="s">
        <v>111</v>
      </c>
      <c r="AL21" s="21">
        <v>15662.4</v>
      </c>
    </row>
    <row r="22" spans="1:38" x14ac:dyDescent="0.25">
      <c r="C22" s="20"/>
      <c r="I22" s="1"/>
      <c r="J22" s="2"/>
      <c r="K22" t="str">
        <f>PARAMETRES!$B$3</f>
        <v>Droit de voirie ODP 2023</v>
      </c>
      <c r="Q22" s="7" t="s">
        <v>88</v>
      </c>
      <c r="R22" s="13">
        <v>2</v>
      </c>
      <c r="S22" s="7" t="s">
        <v>89</v>
      </c>
      <c r="T22" s="1">
        <v>44927</v>
      </c>
      <c r="U22" s="1">
        <v>45291</v>
      </c>
      <c r="V22" s="22">
        <v>264</v>
      </c>
      <c r="W22" s="22">
        <v>15.6</v>
      </c>
      <c r="Z22" s="17">
        <f>ROUND(FILIEN[[#This Row],[Prix unitaire]]*FILIEN[[#This Row],[Quantité]]*100,0)/100</f>
        <v>4118.3999999999996</v>
      </c>
      <c r="AC22" s="18"/>
      <c r="AD22" s="18"/>
      <c r="AK22" s="8"/>
      <c r="AL22" s="21"/>
    </row>
    <row r="23" spans="1:38" x14ac:dyDescent="0.25">
      <c r="A23" t="s">
        <v>146</v>
      </c>
      <c r="B23" t="s">
        <v>12</v>
      </c>
      <c r="C23" s="20" t="s">
        <v>184</v>
      </c>
      <c r="D23" t="str">
        <f>PARAMETRES!$B$3</f>
        <v>Droit de voirie ODP 2023</v>
      </c>
      <c r="E23">
        <v>2</v>
      </c>
      <c r="F23" t="s">
        <v>13</v>
      </c>
      <c r="G23" t="s">
        <v>14</v>
      </c>
      <c r="H23">
        <f>PARAMETRES!$B$4</f>
        <v>800</v>
      </c>
      <c r="I23" s="1" t="s">
        <v>16</v>
      </c>
      <c r="J23" s="2" t="s">
        <v>147</v>
      </c>
      <c r="K23" t="str">
        <f>PARAMETRES!$B$3</f>
        <v>Droit de voirie ODP 2023</v>
      </c>
      <c r="Q23" s="7" t="s">
        <v>88</v>
      </c>
      <c r="R23" s="13">
        <v>1</v>
      </c>
      <c r="S23" s="7" t="s">
        <v>90</v>
      </c>
      <c r="T23" s="1">
        <v>44927</v>
      </c>
      <c r="U23" s="1">
        <v>45291</v>
      </c>
      <c r="V23" s="22">
        <v>87</v>
      </c>
      <c r="W23" s="22">
        <v>15.6</v>
      </c>
      <c r="Z23" s="17">
        <f>ROUND(FILIEN[[#This Row],[Prix unitaire]]*FILIEN[[#This Row],[Quantité]]*100,0)/100</f>
        <v>1357.2</v>
      </c>
      <c r="AA23">
        <v>1</v>
      </c>
      <c r="AB23">
        <v>70</v>
      </c>
      <c r="AC23" s="18">
        <v>70321</v>
      </c>
      <c r="AD23" s="18">
        <v>845</v>
      </c>
      <c r="AF23" t="s">
        <v>12</v>
      </c>
      <c r="AG23" t="s">
        <v>12</v>
      </c>
      <c r="AH23" s="7" t="str">
        <f>PARAMETRES!$B$6</f>
        <v>GEST_30</v>
      </c>
      <c r="AI23" s="7" t="str">
        <f>PARAMETRES!$B$7</f>
        <v>BN5</v>
      </c>
      <c r="AK23" s="8" t="s">
        <v>112</v>
      </c>
      <c r="AL23" s="21">
        <v>1357.2</v>
      </c>
    </row>
    <row r="24" spans="1:38" x14ac:dyDescent="0.25">
      <c r="A24" t="s">
        <v>148</v>
      </c>
      <c r="B24" t="s">
        <v>12</v>
      </c>
      <c r="C24" s="20" t="s">
        <v>185</v>
      </c>
      <c r="D24" t="str">
        <f>PARAMETRES!$B$3</f>
        <v>Droit de voirie ODP 2023</v>
      </c>
      <c r="E24">
        <v>2</v>
      </c>
      <c r="F24" t="s">
        <v>13</v>
      </c>
      <c r="G24" t="s">
        <v>14</v>
      </c>
      <c r="H24">
        <f>PARAMETRES!$B$4</f>
        <v>800</v>
      </c>
      <c r="I24" s="1" t="s">
        <v>16</v>
      </c>
      <c r="J24" s="2" t="s">
        <v>149</v>
      </c>
      <c r="K24" t="str">
        <f>PARAMETRES!$B$3</f>
        <v>Droit de voirie ODP 2023</v>
      </c>
      <c r="Q24" s="7" t="s">
        <v>88</v>
      </c>
      <c r="R24" s="13">
        <v>1</v>
      </c>
      <c r="S24" s="7" t="s">
        <v>93</v>
      </c>
      <c r="T24" s="1">
        <v>44927</v>
      </c>
      <c r="U24" s="1">
        <v>45291</v>
      </c>
      <c r="V24" s="22">
        <v>3</v>
      </c>
      <c r="W24" s="22">
        <v>19.34</v>
      </c>
      <c r="Z24" s="17">
        <f>ROUND(FILIEN[[#This Row],[Prix unitaire]]*FILIEN[[#This Row],[Quantité]]*100,0)/100</f>
        <v>58.02</v>
      </c>
      <c r="AA24">
        <v>1</v>
      </c>
      <c r="AB24">
        <v>70</v>
      </c>
      <c r="AC24" s="18">
        <v>70321</v>
      </c>
      <c r="AD24" s="18">
        <v>845</v>
      </c>
      <c r="AF24" t="s">
        <v>12</v>
      </c>
      <c r="AG24" t="s">
        <v>12</v>
      </c>
      <c r="AH24" s="7" t="str">
        <f>PARAMETRES!$B$6</f>
        <v>GEST_30</v>
      </c>
      <c r="AI24" s="7" t="str">
        <f>PARAMETRES!$B$7</f>
        <v>BN5</v>
      </c>
      <c r="AK24" s="8" t="s">
        <v>113</v>
      </c>
      <c r="AL24" s="21">
        <v>58.02</v>
      </c>
    </row>
    <row r="25" spans="1:38" x14ac:dyDescent="0.25">
      <c r="A25" t="s">
        <v>150</v>
      </c>
      <c r="B25" t="s">
        <v>12</v>
      </c>
      <c r="C25" s="20" t="s">
        <v>186</v>
      </c>
      <c r="D25" t="str">
        <f>PARAMETRES!$B$3</f>
        <v>Droit de voirie ODP 2023</v>
      </c>
      <c r="E25">
        <v>2</v>
      </c>
      <c r="F25" t="s">
        <v>13</v>
      </c>
      <c r="G25" t="s">
        <v>14</v>
      </c>
      <c r="H25">
        <f>PARAMETRES!$B$4</f>
        <v>800</v>
      </c>
      <c r="I25" s="1" t="s">
        <v>16</v>
      </c>
      <c r="J25" s="2" t="s">
        <v>151</v>
      </c>
      <c r="K25" t="str">
        <f>PARAMETRES!$B$3</f>
        <v>Droit de voirie ODP 2023</v>
      </c>
      <c r="Q25" s="7" t="s">
        <v>88</v>
      </c>
      <c r="R25" s="13">
        <v>1</v>
      </c>
      <c r="S25" s="7" t="s">
        <v>90</v>
      </c>
      <c r="T25" s="1">
        <v>44927</v>
      </c>
      <c r="U25" s="1">
        <v>45291</v>
      </c>
      <c r="V25" s="22">
        <v>13</v>
      </c>
      <c r="W25" s="22">
        <v>15.6</v>
      </c>
      <c r="Z25" s="17">
        <f>ROUND(FILIEN[[#This Row],[Prix unitaire]]*FILIEN[[#This Row],[Quantité]]*100,0)/100</f>
        <v>202.8</v>
      </c>
      <c r="AA25">
        <v>1</v>
      </c>
      <c r="AB25">
        <v>70</v>
      </c>
      <c r="AC25" s="18">
        <v>70321</v>
      </c>
      <c r="AD25" s="18">
        <v>845</v>
      </c>
      <c r="AF25" t="s">
        <v>12</v>
      </c>
      <c r="AG25" t="s">
        <v>12</v>
      </c>
      <c r="AH25" s="7" t="str">
        <f>PARAMETRES!$B$6</f>
        <v>GEST_30</v>
      </c>
      <c r="AI25" s="7" t="str">
        <f>PARAMETRES!$B$7</f>
        <v>BN5</v>
      </c>
      <c r="AK25" s="8" t="s">
        <v>114</v>
      </c>
      <c r="AL25" s="21">
        <v>202.8</v>
      </c>
    </row>
    <row r="26" spans="1:38" x14ac:dyDescent="0.25">
      <c r="A26" t="s">
        <v>152</v>
      </c>
      <c r="B26" t="s">
        <v>12</v>
      </c>
      <c r="C26" s="20" t="s">
        <v>187</v>
      </c>
      <c r="D26" t="str">
        <f>PARAMETRES!$B$3</f>
        <v>Droit de voirie ODP 2023</v>
      </c>
      <c r="E26">
        <v>2</v>
      </c>
      <c r="F26" t="s">
        <v>13</v>
      </c>
      <c r="G26" t="s">
        <v>14</v>
      </c>
      <c r="H26">
        <f>PARAMETRES!$B$4</f>
        <v>800</v>
      </c>
      <c r="I26" s="1" t="s">
        <v>16</v>
      </c>
      <c r="J26" s="2" t="s">
        <v>153</v>
      </c>
      <c r="K26" t="str">
        <f>PARAMETRES!$B$3</f>
        <v>Droit de voirie ODP 2023</v>
      </c>
      <c r="Q26" s="7" t="s">
        <v>88</v>
      </c>
      <c r="R26" s="13">
        <v>1</v>
      </c>
      <c r="S26" s="7" t="s">
        <v>94</v>
      </c>
      <c r="T26" s="1">
        <v>44927</v>
      </c>
      <c r="U26" s="1">
        <v>45291</v>
      </c>
      <c r="V26" s="22">
        <v>1</v>
      </c>
      <c r="W26" s="22">
        <v>280.8</v>
      </c>
      <c r="Z26" s="17">
        <f>ROUND(FILIEN[[#This Row],[Prix unitaire]]*FILIEN[[#This Row],[Quantité]]*100,0)/100</f>
        <v>280.8</v>
      </c>
      <c r="AA26">
        <v>1</v>
      </c>
      <c r="AB26">
        <v>70</v>
      </c>
      <c r="AC26" s="18">
        <v>70321</v>
      </c>
      <c r="AD26" s="18">
        <v>845</v>
      </c>
      <c r="AF26" t="s">
        <v>12</v>
      </c>
      <c r="AG26" t="s">
        <v>12</v>
      </c>
      <c r="AH26" s="7" t="str">
        <f>PARAMETRES!$B$6</f>
        <v>GEST_30</v>
      </c>
      <c r="AI26" s="7" t="str">
        <f>PARAMETRES!$B$7</f>
        <v>BN5</v>
      </c>
      <c r="AK26" s="8" t="s">
        <v>115</v>
      </c>
      <c r="AL26" s="21">
        <v>300.14</v>
      </c>
    </row>
    <row r="27" spans="1:38" x14ac:dyDescent="0.25">
      <c r="C27" s="20"/>
      <c r="I27" s="1"/>
      <c r="J27" s="2"/>
      <c r="K27" t="str">
        <f>PARAMETRES!$B$3</f>
        <v>Droit de voirie ODP 2023</v>
      </c>
      <c r="Q27" s="7" t="s">
        <v>88</v>
      </c>
      <c r="R27" s="13">
        <v>2</v>
      </c>
      <c r="S27" s="7" t="s">
        <v>93</v>
      </c>
      <c r="T27" s="1">
        <v>44927</v>
      </c>
      <c r="U27" s="1">
        <v>45291</v>
      </c>
      <c r="V27" s="22">
        <v>1</v>
      </c>
      <c r="W27" s="22">
        <v>19.34</v>
      </c>
      <c r="Z27" s="17">
        <f>ROUND(FILIEN[[#This Row],[Prix unitaire]]*FILIEN[[#This Row],[Quantité]]*100,0)/100</f>
        <v>19.34</v>
      </c>
      <c r="AC27" s="18"/>
      <c r="AD27" s="18"/>
      <c r="AK27" s="8"/>
      <c r="AL27" s="21"/>
    </row>
    <row r="28" spans="1:38" x14ac:dyDescent="0.25">
      <c r="A28" t="s">
        <v>154</v>
      </c>
      <c r="B28" t="s">
        <v>12</v>
      </c>
      <c r="C28" s="20" t="s">
        <v>183</v>
      </c>
      <c r="D28" t="str">
        <f>PARAMETRES!$B$3</f>
        <v>Droit de voirie ODP 2023</v>
      </c>
      <c r="E28">
        <v>2</v>
      </c>
      <c r="F28" t="s">
        <v>13</v>
      </c>
      <c r="G28" t="s">
        <v>14</v>
      </c>
      <c r="H28">
        <f>PARAMETRES!$B$4</f>
        <v>800</v>
      </c>
      <c r="I28" s="1" t="s">
        <v>16</v>
      </c>
      <c r="J28" s="2" t="s">
        <v>155</v>
      </c>
      <c r="K28" t="str">
        <f>PARAMETRES!$B$3</f>
        <v>Droit de voirie ODP 2023</v>
      </c>
      <c r="Q28" s="7" t="s">
        <v>88</v>
      </c>
      <c r="R28" s="13">
        <v>1</v>
      </c>
      <c r="S28" s="7" t="s">
        <v>102</v>
      </c>
      <c r="T28" s="1">
        <v>44927</v>
      </c>
      <c r="U28" s="1">
        <v>45291</v>
      </c>
      <c r="V28" s="22">
        <v>108</v>
      </c>
      <c r="W28" s="22">
        <v>15.6</v>
      </c>
      <c r="Z28" s="17">
        <f>ROUND(FILIEN[[#This Row],[Prix unitaire]]*FILIEN[[#This Row],[Quantité]]*100,0)/100</f>
        <v>1684.8</v>
      </c>
      <c r="AA28">
        <v>1</v>
      </c>
      <c r="AB28">
        <v>70</v>
      </c>
      <c r="AC28" s="18">
        <v>70321</v>
      </c>
      <c r="AD28" s="18">
        <v>845</v>
      </c>
      <c r="AF28" t="s">
        <v>12</v>
      </c>
      <c r="AG28" t="s">
        <v>12</v>
      </c>
      <c r="AH28" s="7" t="str">
        <f>PARAMETRES!$B$6</f>
        <v>GEST_30</v>
      </c>
      <c r="AI28" s="7" t="str">
        <f>PARAMETRES!$B$7</f>
        <v>BN5</v>
      </c>
      <c r="AK28" s="8" t="s">
        <v>116</v>
      </c>
      <c r="AL28" s="21">
        <v>4263.1000000000004</v>
      </c>
    </row>
    <row r="29" spans="1:38" x14ac:dyDescent="0.25">
      <c r="C29" s="20"/>
      <c r="I29" s="1"/>
      <c r="J29" s="2"/>
      <c r="Q29" s="7" t="s">
        <v>88</v>
      </c>
      <c r="R29" s="13">
        <v>2</v>
      </c>
      <c r="S29" s="7" t="s">
        <v>91</v>
      </c>
      <c r="T29" s="1">
        <v>44927</v>
      </c>
      <c r="U29" s="1">
        <v>45291</v>
      </c>
      <c r="V29" s="22">
        <v>91</v>
      </c>
      <c r="W29" s="22">
        <v>21.84</v>
      </c>
      <c r="Z29" s="17">
        <f>ROUND(FILIEN[[#This Row],[Prix unitaire]]*FILIEN[[#This Row],[Quantité]]*100,0)/100</f>
        <v>1987.44</v>
      </c>
      <c r="AC29" s="18"/>
      <c r="AD29" s="18"/>
      <c r="AK29" s="8"/>
      <c r="AL29" s="21"/>
    </row>
    <row r="30" spans="1:38" x14ac:dyDescent="0.25">
      <c r="C30" s="20"/>
      <c r="I30" s="1"/>
      <c r="J30" s="2"/>
      <c r="Q30" s="7" t="s">
        <v>88</v>
      </c>
      <c r="R30" s="13">
        <v>3</v>
      </c>
      <c r="S30" s="7" t="s">
        <v>90</v>
      </c>
      <c r="T30" s="1">
        <v>44927</v>
      </c>
      <c r="U30" s="1">
        <v>45291</v>
      </c>
      <c r="V30" s="22">
        <v>16.8</v>
      </c>
      <c r="W30" s="22">
        <v>15.6</v>
      </c>
      <c r="Z30" s="17">
        <f>ROUND(FILIEN[[#This Row],[Prix unitaire]]*FILIEN[[#This Row],[Quantité]]*100,0)/100</f>
        <v>262.08</v>
      </c>
      <c r="AC30" s="18"/>
      <c r="AD30" s="18"/>
      <c r="AK30" s="8"/>
      <c r="AL30" s="21"/>
    </row>
    <row r="31" spans="1:38" x14ac:dyDescent="0.25">
      <c r="C31" s="20"/>
      <c r="I31" s="1"/>
      <c r="J31" s="2"/>
      <c r="Q31" s="7" t="s">
        <v>88</v>
      </c>
      <c r="R31" s="13">
        <v>4</v>
      </c>
      <c r="S31" s="7" t="s">
        <v>93</v>
      </c>
      <c r="T31" s="1">
        <v>44927</v>
      </c>
      <c r="U31" s="1">
        <v>45291</v>
      </c>
      <c r="V31" s="22">
        <v>6</v>
      </c>
      <c r="W31" s="22">
        <v>19.34</v>
      </c>
      <c r="Z31" s="17">
        <f>ROUND(FILIEN[[#This Row],[Prix unitaire]]*FILIEN[[#This Row],[Quantité]]*100,0)/100</f>
        <v>116.04</v>
      </c>
      <c r="AC31" s="18"/>
      <c r="AD31" s="18"/>
      <c r="AK31" s="8"/>
      <c r="AL31" s="21"/>
    </row>
    <row r="32" spans="1:38" x14ac:dyDescent="0.25">
      <c r="C32" s="20"/>
      <c r="I32" s="1"/>
      <c r="J32" s="2"/>
      <c r="Q32" s="7" t="s">
        <v>88</v>
      </c>
      <c r="R32" s="13">
        <v>5</v>
      </c>
      <c r="S32" s="7" t="s">
        <v>93</v>
      </c>
      <c r="T32" s="1">
        <v>44927</v>
      </c>
      <c r="U32" s="1">
        <v>45291</v>
      </c>
      <c r="V32" s="22">
        <v>11</v>
      </c>
      <c r="W32" s="22">
        <v>19.34</v>
      </c>
      <c r="Z32" s="17">
        <f>ROUND(FILIEN[[#This Row],[Prix unitaire]]*FILIEN[[#This Row],[Quantité]]*100,0)/100</f>
        <v>212.74</v>
      </c>
      <c r="AC32" s="18"/>
      <c r="AD32" s="18"/>
      <c r="AK32" s="8"/>
      <c r="AL32" s="21"/>
    </row>
    <row r="33" spans="1:38" x14ac:dyDescent="0.25">
      <c r="A33" t="s">
        <v>156</v>
      </c>
      <c r="B33" t="s">
        <v>12</v>
      </c>
      <c r="C33" s="20" t="s">
        <v>188</v>
      </c>
      <c r="D33" t="str">
        <f>PARAMETRES!$B$3</f>
        <v>Droit de voirie ODP 2023</v>
      </c>
      <c r="E33">
        <v>2</v>
      </c>
      <c r="F33" t="s">
        <v>13</v>
      </c>
      <c r="G33" t="s">
        <v>14</v>
      </c>
      <c r="H33">
        <f>PARAMETRES!$B$4</f>
        <v>800</v>
      </c>
      <c r="I33" s="1" t="s">
        <v>16</v>
      </c>
      <c r="J33" s="2" t="s">
        <v>157</v>
      </c>
      <c r="K33" t="str">
        <f>PARAMETRES!$B$3</f>
        <v>Droit de voirie ODP 2023</v>
      </c>
      <c r="Q33" s="7" t="s">
        <v>88</v>
      </c>
      <c r="R33" s="13">
        <v>1</v>
      </c>
      <c r="S33" s="7" t="s">
        <v>93</v>
      </c>
      <c r="T33" s="1">
        <v>44927</v>
      </c>
      <c r="U33" s="1">
        <v>45291</v>
      </c>
      <c r="V33" s="22">
        <v>14</v>
      </c>
      <c r="W33" s="22">
        <v>19.34</v>
      </c>
      <c r="Z33" s="17">
        <f>ROUND(FILIEN[[#This Row],[Prix unitaire]]*FILIEN[[#This Row],[Quantité]]*100,0)/100</f>
        <v>270.76</v>
      </c>
      <c r="AA33">
        <v>1</v>
      </c>
      <c r="AB33">
        <v>70</v>
      </c>
      <c r="AC33" s="18">
        <v>70321</v>
      </c>
      <c r="AD33" s="18">
        <v>845</v>
      </c>
      <c r="AF33" t="s">
        <v>12</v>
      </c>
      <c r="AG33" t="s">
        <v>12</v>
      </c>
      <c r="AH33" s="7" t="str">
        <f>PARAMETRES!$B$6</f>
        <v>GEST_30</v>
      </c>
      <c r="AI33" s="7" t="str">
        <f>PARAMETRES!$B$7</f>
        <v>BN5</v>
      </c>
      <c r="AK33" s="8" t="s">
        <v>117</v>
      </c>
      <c r="AL33" s="21">
        <v>2142.7600000000002</v>
      </c>
    </row>
    <row r="34" spans="1:38" x14ac:dyDescent="0.25">
      <c r="C34" s="20"/>
      <c r="I34" s="1"/>
      <c r="J34" s="2"/>
      <c r="Q34" s="7" t="s">
        <v>88</v>
      </c>
      <c r="R34" s="13">
        <v>2</v>
      </c>
      <c r="S34" s="7" t="s">
        <v>89</v>
      </c>
      <c r="T34" s="1">
        <v>44927</v>
      </c>
      <c r="U34" s="1">
        <v>45291</v>
      </c>
      <c r="V34" s="22">
        <v>120</v>
      </c>
      <c r="W34" s="22">
        <v>15.6</v>
      </c>
      <c r="Z34" s="17">
        <f>ROUND(FILIEN[[#This Row],[Prix unitaire]]*FILIEN[[#This Row],[Quantité]]*100,0)/100</f>
        <v>1872</v>
      </c>
      <c r="AC34" s="18"/>
      <c r="AD34" s="18"/>
      <c r="AK34" s="8"/>
      <c r="AL34" s="21"/>
    </row>
    <row r="35" spans="1:38" x14ac:dyDescent="0.25">
      <c r="A35" t="s">
        <v>158</v>
      </c>
      <c r="B35" t="s">
        <v>12</v>
      </c>
      <c r="C35" s="20" t="s">
        <v>189</v>
      </c>
      <c r="D35" t="str">
        <f>PARAMETRES!$B$3</f>
        <v>Droit de voirie ODP 2023</v>
      </c>
      <c r="E35">
        <v>2</v>
      </c>
      <c r="F35" t="s">
        <v>13</v>
      </c>
      <c r="G35" t="s">
        <v>14</v>
      </c>
      <c r="H35">
        <f>PARAMETRES!$B$4</f>
        <v>800</v>
      </c>
      <c r="I35" s="1" t="s">
        <v>16</v>
      </c>
      <c r="J35" s="2" t="s">
        <v>159</v>
      </c>
      <c r="K35" t="str">
        <f>PARAMETRES!$B$3</f>
        <v>Droit de voirie ODP 2023</v>
      </c>
      <c r="Q35" s="7" t="s">
        <v>88</v>
      </c>
      <c r="R35" s="13">
        <v>1</v>
      </c>
      <c r="S35" s="7" t="s">
        <v>90</v>
      </c>
      <c r="T35" s="1">
        <v>44927</v>
      </c>
      <c r="U35" s="1">
        <v>45291</v>
      </c>
      <c r="V35" s="22">
        <v>99.9</v>
      </c>
      <c r="W35" s="22">
        <v>15.6</v>
      </c>
      <c r="Z35" s="17">
        <f>ROUND(FILIEN[[#This Row],[Prix unitaire]]*FILIEN[[#This Row],[Quantité]]*100,0)/100</f>
        <v>1558.44</v>
      </c>
      <c r="AA35">
        <v>1</v>
      </c>
      <c r="AB35">
        <v>70</v>
      </c>
      <c r="AC35" s="18">
        <v>70321</v>
      </c>
      <c r="AD35" s="18">
        <v>845</v>
      </c>
      <c r="AF35" t="s">
        <v>12</v>
      </c>
      <c r="AG35" t="s">
        <v>12</v>
      </c>
      <c r="AH35" s="7" t="str">
        <f>PARAMETRES!$B$6</f>
        <v>GEST_30</v>
      </c>
      <c r="AI35" s="7" t="str">
        <f>PARAMETRES!$B$7</f>
        <v>BN5</v>
      </c>
      <c r="AK35" s="8" t="s">
        <v>118</v>
      </c>
      <c r="AL35" s="21">
        <v>5367.96</v>
      </c>
    </row>
    <row r="36" spans="1:38" x14ac:dyDescent="0.25">
      <c r="C36" s="20"/>
      <c r="I36" s="1"/>
      <c r="J36" s="2"/>
      <c r="Q36" s="7" t="s">
        <v>88</v>
      </c>
      <c r="R36" s="13">
        <v>2</v>
      </c>
      <c r="S36" s="7" t="s">
        <v>89</v>
      </c>
      <c r="T36" s="1">
        <v>44927</v>
      </c>
      <c r="U36" s="1">
        <v>45291</v>
      </c>
      <c r="V36" s="22">
        <v>244.2</v>
      </c>
      <c r="W36" s="22">
        <v>15.6</v>
      </c>
      <c r="Z36" s="17">
        <f>ROUND(FILIEN[[#This Row],[Prix unitaire]]*FILIEN[[#This Row],[Quantité]]*100,0)/100</f>
        <v>3809.52</v>
      </c>
      <c r="AC36" s="18"/>
      <c r="AD36" s="18"/>
      <c r="AK36" s="8"/>
      <c r="AL36" s="21"/>
    </row>
    <row r="37" spans="1:38" x14ac:dyDescent="0.25">
      <c r="A37" t="s">
        <v>160</v>
      </c>
      <c r="B37" t="s">
        <v>12</v>
      </c>
      <c r="C37" s="20" t="s">
        <v>190</v>
      </c>
      <c r="D37" t="str">
        <f>PARAMETRES!$B$3</f>
        <v>Droit de voirie ODP 2023</v>
      </c>
      <c r="E37">
        <v>2</v>
      </c>
      <c r="F37" t="s">
        <v>13</v>
      </c>
      <c r="G37" t="s">
        <v>14</v>
      </c>
      <c r="H37">
        <f>PARAMETRES!$B$4</f>
        <v>800</v>
      </c>
      <c r="I37" s="1" t="s">
        <v>16</v>
      </c>
      <c r="J37" s="2" t="s">
        <v>161</v>
      </c>
      <c r="K37" t="str">
        <f>PARAMETRES!$B$3</f>
        <v>Droit de voirie ODP 2023</v>
      </c>
      <c r="Q37" s="7" t="s">
        <v>88</v>
      </c>
      <c r="R37" s="13">
        <v>1</v>
      </c>
      <c r="S37" s="7" t="s">
        <v>91</v>
      </c>
      <c r="T37" s="1">
        <v>44927</v>
      </c>
      <c r="U37" s="1">
        <v>45291</v>
      </c>
      <c r="V37" s="22">
        <v>7</v>
      </c>
      <c r="W37" s="22">
        <v>21.84</v>
      </c>
      <c r="Z37" s="17">
        <f>ROUND(FILIEN[[#This Row],[Prix unitaire]]*FILIEN[[#This Row],[Quantité]]*100,0)/100</f>
        <v>152.88</v>
      </c>
      <c r="AA37">
        <v>1</v>
      </c>
      <c r="AB37">
        <v>70</v>
      </c>
      <c r="AC37" s="18">
        <v>70321</v>
      </c>
      <c r="AD37" s="18">
        <v>845</v>
      </c>
      <c r="AF37" t="s">
        <v>12</v>
      </c>
      <c r="AG37" t="s">
        <v>12</v>
      </c>
      <c r="AH37" s="7" t="str">
        <f>PARAMETRES!$B$6</f>
        <v>GEST_30</v>
      </c>
      <c r="AI37" s="7" t="str">
        <f>PARAMETRES!$B$7</f>
        <v>BN5</v>
      </c>
      <c r="AK37" s="8" t="s">
        <v>119</v>
      </c>
      <c r="AL37" s="21">
        <v>191.56</v>
      </c>
    </row>
    <row r="38" spans="1:38" x14ac:dyDescent="0.25">
      <c r="C38" s="20"/>
      <c r="I38" s="1"/>
      <c r="J38" s="2"/>
      <c r="Q38" s="7" t="s">
        <v>88</v>
      </c>
      <c r="R38" s="13">
        <v>2</v>
      </c>
      <c r="S38" s="7" t="s">
        <v>93</v>
      </c>
      <c r="T38" s="1">
        <v>44927</v>
      </c>
      <c r="U38" s="1">
        <v>45291</v>
      </c>
      <c r="V38" s="22">
        <v>2</v>
      </c>
      <c r="W38">
        <v>19.34</v>
      </c>
      <c r="Z38" s="17">
        <f>ROUND(FILIEN[[#This Row],[Prix unitaire]]*FILIEN[[#This Row],[Quantité]]*100,0)/100</f>
        <v>38.68</v>
      </c>
      <c r="AC38" s="18"/>
      <c r="AD38" s="18"/>
      <c r="AK38" s="8"/>
      <c r="AL38" s="17"/>
    </row>
    <row r="39" spans="1:38" x14ac:dyDescent="0.25">
      <c r="A39" t="s">
        <v>162</v>
      </c>
      <c r="B39" t="s">
        <v>12</v>
      </c>
      <c r="C39" s="20" t="s">
        <v>191</v>
      </c>
      <c r="D39" t="str">
        <f>PARAMETRES!$B$3</f>
        <v>Droit de voirie ODP 2023</v>
      </c>
      <c r="E39">
        <v>2</v>
      </c>
      <c r="F39" t="s">
        <v>13</v>
      </c>
      <c r="G39" t="s">
        <v>14</v>
      </c>
      <c r="H39">
        <f>PARAMETRES!$B$4</f>
        <v>800</v>
      </c>
      <c r="I39" s="1" t="s">
        <v>16</v>
      </c>
      <c r="J39" s="2" t="s">
        <v>163</v>
      </c>
      <c r="K39" t="str">
        <f>PARAMETRES!$B$3</f>
        <v>Droit de voirie ODP 2023</v>
      </c>
      <c r="Q39" s="7" t="s">
        <v>88</v>
      </c>
      <c r="R39" s="13">
        <v>1</v>
      </c>
      <c r="S39" s="7" t="s">
        <v>89</v>
      </c>
      <c r="T39" s="1">
        <v>44927</v>
      </c>
      <c r="U39" s="1">
        <v>45291</v>
      </c>
      <c r="V39" s="22">
        <v>178</v>
      </c>
      <c r="W39">
        <v>15.6</v>
      </c>
      <c r="Z39" s="17">
        <f>ROUND(FILIEN[[#This Row],[Prix unitaire]]*FILIEN[[#This Row],[Quantité]]*100,0)/100</f>
        <v>2776.8</v>
      </c>
      <c r="AA39">
        <v>1</v>
      </c>
      <c r="AB39">
        <v>70</v>
      </c>
      <c r="AC39" s="18">
        <v>70321</v>
      </c>
      <c r="AD39" s="18">
        <v>845</v>
      </c>
      <c r="AF39" t="s">
        <v>12</v>
      </c>
      <c r="AG39" t="s">
        <v>12</v>
      </c>
      <c r="AH39" s="7" t="str">
        <f>PARAMETRES!$B$6</f>
        <v>GEST_30</v>
      </c>
      <c r="AI39" s="7" t="str">
        <f>PARAMETRES!$B$7</f>
        <v>BN5</v>
      </c>
      <c r="AK39" s="8" t="s">
        <v>120</v>
      </c>
      <c r="AL39" s="21">
        <v>2854.16</v>
      </c>
    </row>
    <row r="40" spans="1:38" x14ac:dyDescent="0.25">
      <c r="C40" s="20"/>
      <c r="I40" s="1"/>
      <c r="J40" s="2"/>
      <c r="Q40" s="7" t="s">
        <v>88</v>
      </c>
      <c r="R40" s="13">
        <v>1</v>
      </c>
      <c r="S40" s="7" t="s">
        <v>93</v>
      </c>
      <c r="T40" s="1">
        <v>44927</v>
      </c>
      <c r="U40" s="1">
        <v>45291</v>
      </c>
      <c r="V40" s="22">
        <v>4</v>
      </c>
      <c r="W40">
        <v>19.34</v>
      </c>
      <c r="Z40" s="17">
        <f>ROUND(FILIEN[[#This Row],[Prix unitaire]]*FILIEN[[#This Row],[Quantité]]*100,0)/100</f>
        <v>77.36</v>
      </c>
      <c r="AC40" s="18"/>
      <c r="AD40" s="18"/>
      <c r="AK40" s="8"/>
      <c r="AL40" s="17"/>
    </row>
    <row r="41" spans="1:38" x14ac:dyDescent="0.25">
      <c r="A41" t="s">
        <v>164</v>
      </c>
      <c r="B41" t="s">
        <v>12</v>
      </c>
      <c r="C41" s="20" t="s">
        <v>192</v>
      </c>
      <c r="D41" t="str">
        <f>PARAMETRES!$B$3</f>
        <v>Droit de voirie ODP 2023</v>
      </c>
      <c r="E41">
        <v>2</v>
      </c>
      <c r="F41" t="s">
        <v>13</v>
      </c>
      <c r="G41" t="s">
        <v>14</v>
      </c>
      <c r="H41">
        <f>PARAMETRES!$B$4</f>
        <v>800</v>
      </c>
      <c r="I41" s="1" t="s">
        <v>16</v>
      </c>
      <c r="J41" s="2" t="s">
        <v>165</v>
      </c>
      <c r="K41" t="str">
        <f>PARAMETRES!$B$3</f>
        <v>Droit de voirie ODP 2023</v>
      </c>
      <c r="Q41" s="7" t="s">
        <v>88</v>
      </c>
      <c r="R41" s="13">
        <v>1</v>
      </c>
      <c r="S41" s="7" t="s">
        <v>89</v>
      </c>
      <c r="T41" s="1">
        <v>44927</v>
      </c>
      <c r="U41" s="1">
        <v>45291</v>
      </c>
      <c r="V41" s="22">
        <v>25.5</v>
      </c>
      <c r="W41">
        <v>15.6</v>
      </c>
      <c r="Z41" s="17">
        <f>ROUND(FILIEN[[#This Row],[Prix unitaire]]*FILIEN[[#This Row],[Quantité]]*100,0)/100</f>
        <v>397.8</v>
      </c>
      <c r="AA41">
        <v>1</v>
      </c>
      <c r="AB41">
        <v>70</v>
      </c>
      <c r="AC41" s="18">
        <v>70321</v>
      </c>
      <c r="AD41" s="18">
        <v>845</v>
      </c>
      <c r="AF41" t="s">
        <v>12</v>
      </c>
      <c r="AG41" t="s">
        <v>12</v>
      </c>
      <c r="AH41" s="7" t="str">
        <f>PARAMETRES!$B$6</f>
        <v>GEST_30</v>
      </c>
      <c r="AI41" s="7" t="str">
        <f>PARAMETRES!$B$7</f>
        <v>BN5</v>
      </c>
      <c r="AK41" s="8" t="s">
        <v>121</v>
      </c>
      <c r="AL41" s="21">
        <v>1806.72</v>
      </c>
    </row>
    <row r="42" spans="1:38" x14ac:dyDescent="0.25">
      <c r="C42" s="20"/>
      <c r="I42" s="1"/>
      <c r="J42" s="2"/>
      <c r="Q42" s="7" t="s">
        <v>88</v>
      </c>
      <c r="R42" s="13">
        <v>2</v>
      </c>
      <c r="S42" s="7" t="s">
        <v>93</v>
      </c>
      <c r="T42" s="1">
        <v>44927</v>
      </c>
      <c r="U42" s="1">
        <v>45291</v>
      </c>
      <c r="V42" s="22">
        <v>20</v>
      </c>
      <c r="W42">
        <v>15.6</v>
      </c>
      <c r="Z42" s="17">
        <f>ROUND(FILIEN[[#This Row],[Prix unitaire]]*FILIEN[[#This Row],[Quantité]]*100,0)/100</f>
        <v>312</v>
      </c>
      <c r="AC42" s="18"/>
      <c r="AD42" s="18"/>
      <c r="AK42" s="8"/>
      <c r="AL42" s="17"/>
    </row>
    <row r="43" spans="1:38" x14ac:dyDescent="0.25">
      <c r="C43" s="20"/>
      <c r="I43" s="1"/>
      <c r="J43" s="2"/>
      <c r="Q43" s="7" t="s">
        <v>88</v>
      </c>
      <c r="R43" s="13">
        <v>3</v>
      </c>
      <c r="S43" s="7" t="s">
        <v>94</v>
      </c>
      <c r="T43" s="1">
        <v>44927</v>
      </c>
      <c r="U43" s="1">
        <v>45291</v>
      </c>
      <c r="V43" s="22">
        <v>60</v>
      </c>
      <c r="W43">
        <v>12.48</v>
      </c>
      <c r="Z43" s="17">
        <f>ROUND(FILIEN[[#This Row],[Prix unitaire]]*FILIEN[[#This Row],[Quantité]]*100,0)/100</f>
        <v>748.8</v>
      </c>
      <c r="AC43" s="18"/>
      <c r="AD43" s="18"/>
      <c r="AK43" s="8"/>
      <c r="AL43" s="17"/>
    </row>
    <row r="44" spans="1:38" x14ac:dyDescent="0.25">
      <c r="C44" s="20"/>
      <c r="I44" s="1"/>
      <c r="J44" s="2"/>
      <c r="Q44" s="7" t="s">
        <v>88</v>
      </c>
      <c r="R44" s="13">
        <v>4</v>
      </c>
      <c r="S44" s="7" t="s">
        <v>94</v>
      </c>
      <c r="T44" s="1">
        <v>44927</v>
      </c>
      <c r="U44" s="1">
        <v>45291</v>
      </c>
      <c r="V44" s="22">
        <v>10</v>
      </c>
      <c r="W44">
        <v>19.34</v>
      </c>
      <c r="Z44" s="17">
        <f>ROUND(FILIEN[[#This Row],[Prix unitaire]]*FILIEN[[#This Row],[Quantité]]*100,0)/100</f>
        <v>193.4</v>
      </c>
      <c r="AC44" s="18"/>
      <c r="AD44" s="18"/>
      <c r="AK44" s="8"/>
      <c r="AL44" s="17"/>
    </row>
    <row r="45" spans="1:38" x14ac:dyDescent="0.25">
      <c r="C45" s="20"/>
      <c r="I45" s="1"/>
      <c r="J45" s="2"/>
      <c r="Q45" s="7" t="s">
        <v>88</v>
      </c>
      <c r="R45" s="13">
        <v>5</v>
      </c>
      <c r="S45" s="7" t="s">
        <v>102</v>
      </c>
      <c r="T45" s="1">
        <v>44927</v>
      </c>
      <c r="U45" s="1">
        <v>45291</v>
      </c>
      <c r="V45" s="22">
        <v>8</v>
      </c>
      <c r="W45">
        <v>19.34</v>
      </c>
      <c r="Z45" s="17">
        <f>ROUND(FILIEN[[#This Row],[Prix unitaire]]*FILIEN[[#This Row],[Quantité]]*100,0)/100</f>
        <v>154.72</v>
      </c>
      <c r="AC45" s="18"/>
      <c r="AD45" s="18"/>
      <c r="AK45" s="8"/>
      <c r="AL45" s="17"/>
    </row>
    <row r="46" spans="1:38" x14ac:dyDescent="0.25">
      <c r="A46" t="s">
        <v>166</v>
      </c>
      <c r="B46" t="s">
        <v>12</v>
      </c>
      <c r="C46" s="20" t="s">
        <v>193</v>
      </c>
      <c r="D46" t="str">
        <f>PARAMETRES!$B$3</f>
        <v>Droit de voirie ODP 2023</v>
      </c>
      <c r="E46">
        <v>2</v>
      </c>
      <c r="F46" t="s">
        <v>13</v>
      </c>
      <c r="G46" t="s">
        <v>14</v>
      </c>
      <c r="H46">
        <f>PARAMETRES!$B$4</f>
        <v>800</v>
      </c>
      <c r="I46" s="1" t="s">
        <v>16</v>
      </c>
      <c r="J46" s="2" t="s">
        <v>167</v>
      </c>
      <c r="K46" t="str">
        <f>PARAMETRES!$B$3</f>
        <v>Droit de voirie ODP 2023</v>
      </c>
      <c r="Q46" s="7" t="s">
        <v>88</v>
      </c>
      <c r="R46" s="13">
        <v>1</v>
      </c>
      <c r="S46" s="7" t="s">
        <v>90</v>
      </c>
      <c r="T46" s="1">
        <v>44927</v>
      </c>
      <c r="U46" s="1">
        <v>45291</v>
      </c>
      <c r="V46" s="22">
        <v>1</v>
      </c>
      <c r="W46">
        <v>280.8</v>
      </c>
      <c r="Z46" s="17">
        <f>ROUND(FILIEN[[#This Row],[Prix unitaire]]*FILIEN[[#This Row],[Quantité]]*100,0)/100</f>
        <v>280.8</v>
      </c>
      <c r="AA46">
        <v>1</v>
      </c>
      <c r="AB46">
        <v>70</v>
      </c>
      <c r="AC46" s="18">
        <v>70321</v>
      </c>
      <c r="AD46" s="18">
        <v>845</v>
      </c>
      <c r="AF46" t="s">
        <v>12</v>
      </c>
      <c r="AG46" t="s">
        <v>12</v>
      </c>
      <c r="AH46" s="7" t="str">
        <f>PARAMETRES!$B$6</f>
        <v>GEST_30</v>
      </c>
      <c r="AI46" s="7" t="str">
        <f>PARAMETRES!$B$7</f>
        <v>BN5</v>
      </c>
      <c r="AK46" s="8" t="s">
        <v>122</v>
      </c>
      <c r="AL46" s="17">
        <v>280.8</v>
      </c>
    </row>
    <row r="47" spans="1:38" x14ac:dyDescent="0.25">
      <c r="A47" t="s">
        <v>168</v>
      </c>
      <c r="B47" t="s">
        <v>12</v>
      </c>
      <c r="C47" s="20" t="s">
        <v>194</v>
      </c>
      <c r="D47" t="str">
        <f>PARAMETRES!$B$3</f>
        <v>Droit de voirie ODP 2023</v>
      </c>
      <c r="E47">
        <v>2</v>
      </c>
      <c r="F47" t="s">
        <v>13</v>
      </c>
      <c r="G47" t="s">
        <v>14</v>
      </c>
      <c r="H47">
        <f>PARAMETRES!$B$4</f>
        <v>800</v>
      </c>
      <c r="I47" s="1" t="s">
        <v>16</v>
      </c>
      <c r="J47" s="2" t="s">
        <v>169</v>
      </c>
      <c r="K47" t="str">
        <f>PARAMETRES!$B$3</f>
        <v>Droit de voirie ODP 2023</v>
      </c>
      <c r="Q47" s="7" t="s">
        <v>88</v>
      </c>
      <c r="R47" s="13">
        <v>1</v>
      </c>
      <c r="S47" s="7" t="s">
        <v>89</v>
      </c>
      <c r="T47" s="1">
        <v>44927</v>
      </c>
      <c r="U47" s="1">
        <v>45291</v>
      </c>
      <c r="V47" s="22">
        <v>1100</v>
      </c>
      <c r="W47">
        <v>15.6</v>
      </c>
      <c r="Z47" s="17">
        <f>ROUND(FILIEN[[#This Row],[Prix unitaire]]*FILIEN[[#This Row],[Quantité]]*100,0)/100</f>
        <v>17160</v>
      </c>
      <c r="AA47">
        <v>1</v>
      </c>
      <c r="AB47">
        <v>70</v>
      </c>
      <c r="AC47" s="18">
        <v>70321</v>
      </c>
      <c r="AD47" s="18">
        <v>845</v>
      </c>
      <c r="AF47" t="s">
        <v>12</v>
      </c>
      <c r="AG47" t="s">
        <v>12</v>
      </c>
      <c r="AH47" s="7" t="str">
        <f>PARAMETRES!$B$6</f>
        <v>GEST_30</v>
      </c>
      <c r="AI47" s="7" t="str">
        <f>PARAMETRES!$B$7</f>
        <v>BN5</v>
      </c>
      <c r="AK47" s="8" t="s">
        <v>123</v>
      </c>
      <c r="AL47" s="17">
        <v>21704.9</v>
      </c>
    </row>
    <row r="48" spans="1:38" x14ac:dyDescent="0.25">
      <c r="C48" s="20"/>
      <c r="I48" s="1"/>
      <c r="J48" s="2"/>
      <c r="Q48" s="7" t="s">
        <v>88</v>
      </c>
      <c r="R48" s="13">
        <v>2</v>
      </c>
      <c r="S48" s="7" t="s">
        <v>93</v>
      </c>
      <c r="T48" s="1">
        <v>44927</v>
      </c>
      <c r="U48" s="1">
        <v>45291</v>
      </c>
      <c r="V48" s="22">
        <v>235</v>
      </c>
      <c r="W48">
        <v>19.34</v>
      </c>
      <c r="Z48" s="17">
        <f>ROUND(FILIEN[[#This Row],[Prix unitaire]]*FILIEN[[#This Row],[Quantité]]*100,0)/100</f>
        <v>4544.8999999999996</v>
      </c>
      <c r="AC48" s="18"/>
      <c r="AD48" s="18"/>
      <c r="AK48" s="8"/>
      <c r="AL48" s="17"/>
    </row>
    <row r="49" spans="1:38" x14ac:dyDescent="0.25">
      <c r="A49" t="s">
        <v>170</v>
      </c>
      <c r="B49" t="s">
        <v>12</v>
      </c>
      <c r="C49" s="20" t="s">
        <v>195</v>
      </c>
      <c r="D49" t="str">
        <f>PARAMETRES!$B$3</f>
        <v>Droit de voirie ODP 2023</v>
      </c>
      <c r="E49">
        <v>2</v>
      </c>
      <c r="F49" t="s">
        <v>13</v>
      </c>
      <c r="G49" t="s">
        <v>14</v>
      </c>
      <c r="H49">
        <f>PARAMETRES!$B$4</f>
        <v>800</v>
      </c>
      <c r="I49" s="1" t="s">
        <v>16</v>
      </c>
      <c r="J49" s="2" t="s">
        <v>171</v>
      </c>
      <c r="K49" t="str">
        <f>PARAMETRES!$B$3</f>
        <v>Droit de voirie ODP 2023</v>
      </c>
      <c r="Q49" s="7" t="s">
        <v>88</v>
      </c>
      <c r="R49" s="13">
        <v>1</v>
      </c>
      <c r="S49" s="7" t="s">
        <v>90</v>
      </c>
      <c r="T49" s="1">
        <v>44927</v>
      </c>
      <c r="U49" s="1">
        <v>45291</v>
      </c>
      <c r="V49" s="22">
        <v>12.6</v>
      </c>
      <c r="W49">
        <v>15.6</v>
      </c>
      <c r="Z49" s="17">
        <f>ROUND(FILIEN[[#This Row],[Prix unitaire]]*FILIEN[[#This Row],[Quantité]]*100,0)/100</f>
        <v>196.56</v>
      </c>
      <c r="AA49">
        <v>1</v>
      </c>
      <c r="AB49">
        <v>70</v>
      </c>
      <c r="AC49" s="18">
        <v>70321</v>
      </c>
      <c r="AD49" s="18">
        <v>845</v>
      </c>
      <c r="AF49" t="s">
        <v>12</v>
      </c>
      <c r="AG49" t="s">
        <v>12</v>
      </c>
      <c r="AH49" s="7" t="str">
        <f>PARAMETRES!$B$6</f>
        <v>GEST_30</v>
      </c>
      <c r="AI49" s="7" t="str">
        <f>PARAMETRES!$B$7</f>
        <v>BN5</v>
      </c>
      <c r="AK49" s="8" t="s">
        <v>124</v>
      </c>
      <c r="AL49" s="17">
        <v>196.56</v>
      </c>
    </row>
    <row r="50" spans="1:38" x14ac:dyDescent="0.25">
      <c r="A50" t="s">
        <v>172</v>
      </c>
      <c r="B50" t="s">
        <v>12</v>
      </c>
      <c r="C50" s="20" t="s">
        <v>196</v>
      </c>
      <c r="D50" t="str">
        <f>PARAMETRES!$B$3</f>
        <v>Droit de voirie ODP 2023</v>
      </c>
      <c r="E50">
        <v>2</v>
      </c>
      <c r="F50" t="s">
        <v>13</v>
      </c>
      <c r="G50" t="s">
        <v>14</v>
      </c>
      <c r="H50">
        <f>PARAMETRES!$B$4</f>
        <v>800</v>
      </c>
      <c r="I50" s="1" t="s">
        <v>16</v>
      </c>
      <c r="J50" s="2" t="s">
        <v>173</v>
      </c>
      <c r="K50" t="str">
        <f>PARAMETRES!$B$3</f>
        <v>Droit de voirie ODP 2023</v>
      </c>
      <c r="Q50" s="7" t="s">
        <v>88</v>
      </c>
      <c r="R50" s="13">
        <v>1</v>
      </c>
      <c r="S50" s="7" t="s">
        <v>93</v>
      </c>
      <c r="T50" s="1">
        <v>44927</v>
      </c>
      <c r="U50" s="1">
        <v>45291</v>
      </c>
      <c r="V50" s="22">
        <v>1</v>
      </c>
      <c r="W50">
        <v>19.34</v>
      </c>
      <c r="Z50" s="17">
        <f>ROUND(FILIEN[[#This Row],[Prix unitaire]]*FILIEN[[#This Row],[Quantité]]*100,0)/100</f>
        <v>19.34</v>
      </c>
      <c r="AA50">
        <v>1</v>
      </c>
      <c r="AB50">
        <v>70</v>
      </c>
      <c r="AC50" s="18">
        <v>70321</v>
      </c>
      <c r="AD50" s="18">
        <v>845</v>
      </c>
      <c r="AF50" t="s">
        <v>12</v>
      </c>
      <c r="AG50" t="s">
        <v>12</v>
      </c>
      <c r="AH50" s="7" t="str">
        <f>PARAMETRES!$B$6</f>
        <v>GEST_30</v>
      </c>
      <c r="AI50" s="7" t="str">
        <f>PARAMETRES!$B$7</f>
        <v>BN5</v>
      </c>
      <c r="AK50" s="8" t="s">
        <v>125</v>
      </c>
      <c r="AL50" s="17">
        <v>19.34</v>
      </c>
    </row>
    <row r="51" spans="1:38" x14ac:dyDescent="0.25">
      <c r="A51" t="s">
        <v>174</v>
      </c>
      <c r="B51" t="s">
        <v>12</v>
      </c>
      <c r="C51" s="20" t="s">
        <v>197</v>
      </c>
      <c r="D51" t="str">
        <f>PARAMETRES!$B$3</f>
        <v>Droit de voirie ODP 2023</v>
      </c>
      <c r="E51">
        <v>2</v>
      </c>
      <c r="F51" t="s">
        <v>13</v>
      </c>
      <c r="G51" t="s">
        <v>14</v>
      </c>
      <c r="H51">
        <f>PARAMETRES!$B$4</f>
        <v>800</v>
      </c>
      <c r="I51" s="1" t="s">
        <v>16</v>
      </c>
      <c r="J51" s="2" t="s">
        <v>175</v>
      </c>
      <c r="K51" t="str">
        <f>PARAMETRES!$B$3</f>
        <v>Droit de voirie ODP 2023</v>
      </c>
      <c r="Q51" s="7" t="s">
        <v>88</v>
      </c>
      <c r="R51" s="13">
        <v>1</v>
      </c>
      <c r="S51" s="7" t="s">
        <v>90</v>
      </c>
      <c r="T51" s="1">
        <v>44927</v>
      </c>
      <c r="U51" s="1">
        <v>45291</v>
      </c>
      <c r="V51" s="22">
        <v>4</v>
      </c>
      <c r="W51">
        <v>15.6</v>
      </c>
      <c r="Z51" s="17">
        <f>ROUND(FILIEN[[#This Row],[Prix unitaire]]*FILIEN[[#This Row],[Quantité]]*100,0)/100</f>
        <v>62.4</v>
      </c>
      <c r="AA51">
        <v>1</v>
      </c>
      <c r="AB51">
        <v>70</v>
      </c>
      <c r="AC51" s="18">
        <v>70321</v>
      </c>
      <c r="AD51" s="18">
        <v>845</v>
      </c>
      <c r="AF51" t="s">
        <v>12</v>
      </c>
      <c r="AG51" t="s">
        <v>12</v>
      </c>
      <c r="AH51" s="7" t="str">
        <f>PARAMETRES!$B$6</f>
        <v>GEST_30</v>
      </c>
      <c r="AI51" s="7" t="str">
        <f>PARAMETRES!$B$7</f>
        <v>BN5</v>
      </c>
      <c r="AK51" s="8" t="s">
        <v>126</v>
      </c>
      <c r="AL51" s="17">
        <v>62.4</v>
      </c>
    </row>
    <row r="52" spans="1:38" x14ac:dyDescent="0.25">
      <c r="A52" t="s">
        <v>176</v>
      </c>
      <c r="B52" t="s">
        <v>12</v>
      </c>
      <c r="C52" s="20" t="s">
        <v>198</v>
      </c>
      <c r="D52" t="str">
        <f>PARAMETRES!$B$3</f>
        <v>Droit de voirie ODP 2023</v>
      </c>
      <c r="E52">
        <v>2</v>
      </c>
      <c r="F52" t="s">
        <v>13</v>
      </c>
      <c r="G52" t="s">
        <v>14</v>
      </c>
      <c r="H52">
        <f>PARAMETRES!$B$4</f>
        <v>800</v>
      </c>
      <c r="I52" s="1" t="s">
        <v>16</v>
      </c>
      <c r="J52" s="2" t="s">
        <v>177</v>
      </c>
      <c r="K52" t="str">
        <f>PARAMETRES!$B$3</f>
        <v>Droit de voirie ODP 2023</v>
      </c>
      <c r="Q52" s="7" t="s">
        <v>88</v>
      </c>
      <c r="R52" s="13">
        <v>1</v>
      </c>
      <c r="S52" s="7" t="s">
        <v>90</v>
      </c>
      <c r="T52" s="1">
        <v>44927</v>
      </c>
      <c r="U52" s="1">
        <v>45291</v>
      </c>
      <c r="V52" s="22">
        <v>18</v>
      </c>
      <c r="W52">
        <v>15.6</v>
      </c>
      <c r="Z52" s="17">
        <f>ROUND(FILIEN[[#This Row],[Prix unitaire]]*FILIEN[[#This Row],[Quantité]]*100,0)/100</f>
        <v>280.8</v>
      </c>
      <c r="AA52">
        <v>1</v>
      </c>
      <c r="AB52">
        <v>70</v>
      </c>
      <c r="AC52" s="18">
        <v>70321</v>
      </c>
      <c r="AD52" s="18">
        <v>845</v>
      </c>
      <c r="AF52" t="s">
        <v>12</v>
      </c>
      <c r="AG52" t="s">
        <v>12</v>
      </c>
      <c r="AH52" s="7" t="str">
        <f>PARAMETRES!$B$6</f>
        <v>GEST_30</v>
      </c>
      <c r="AI52" s="7" t="str">
        <f>PARAMETRES!$B$7</f>
        <v>BN5</v>
      </c>
      <c r="AK52" s="8" t="s">
        <v>127</v>
      </c>
      <c r="AL52" s="17">
        <v>1023.36</v>
      </c>
    </row>
    <row r="53" spans="1:38" x14ac:dyDescent="0.25">
      <c r="C53" s="20"/>
      <c r="I53" s="1"/>
      <c r="J53" s="2"/>
      <c r="Q53" s="7" t="s">
        <v>88</v>
      </c>
      <c r="R53" s="13">
        <v>2</v>
      </c>
      <c r="S53" s="7" t="s">
        <v>90</v>
      </c>
      <c r="T53" s="1">
        <v>44927</v>
      </c>
      <c r="U53" s="1">
        <v>45291</v>
      </c>
      <c r="V53" s="22">
        <v>10.6</v>
      </c>
      <c r="W53">
        <v>15.6</v>
      </c>
      <c r="Z53" s="17">
        <f>ROUND(FILIEN[[#This Row],[Prix unitaire]]*FILIEN[[#This Row],[Quantité]]*100,0)/100</f>
        <v>165.36</v>
      </c>
      <c r="AC53" s="18"/>
      <c r="AD53" s="18"/>
      <c r="AK53" s="8"/>
      <c r="AL53" s="17"/>
    </row>
    <row r="54" spans="1:38" x14ac:dyDescent="0.25">
      <c r="C54" s="20"/>
      <c r="I54" s="1"/>
      <c r="J54" s="2"/>
      <c r="Q54" s="7" t="s">
        <v>88</v>
      </c>
      <c r="R54" s="13">
        <v>3</v>
      </c>
      <c r="S54" s="7" t="s">
        <v>90</v>
      </c>
      <c r="T54" s="1">
        <v>44927</v>
      </c>
      <c r="U54" s="1">
        <v>45291</v>
      </c>
      <c r="V54" s="22">
        <v>37</v>
      </c>
      <c r="W54">
        <v>15.6</v>
      </c>
      <c r="Z54" s="17">
        <f>ROUND(FILIEN[[#This Row],[Prix unitaire]]*FILIEN[[#This Row],[Quantité]]*100,0)/100</f>
        <v>577.20000000000005</v>
      </c>
      <c r="AC54" s="18"/>
      <c r="AD54" s="18"/>
      <c r="AK54" s="8"/>
      <c r="AL54" s="17"/>
    </row>
    <row r="55" spans="1:38" x14ac:dyDescent="0.25">
      <c r="C55" s="20"/>
      <c r="I55" s="1"/>
      <c r="J55" s="2"/>
      <c r="V55" s="22"/>
      <c r="Z55" s="17"/>
      <c r="AC55" s="18"/>
      <c r="AD55" s="18"/>
      <c r="AK55" s="8"/>
      <c r="AL55" s="17"/>
    </row>
    <row r="56" spans="1:38" x14ac:dyDescent="0.25">
      <c r="C56" s="20"/>
      <c r="I56" s="1"/>
      <c r="J56" s="2"/>
      <c r="Z56" s="17"/>
      <c r="AC56" s="18"/>
      <c r="AD56" s="18"/>
      <c r="AK56" s="8"/>
      <c r="AL56" s="17"/>
    </row>
    <row r="57" spans="1:38" x14ac:dyDescent="0.25">
      <c r="C57" s="20"/>
      <c r="I57" s="1"/>
      <c r="J57" s="2"/>
      <c r="V57" s="22"/>
      <c r="Z57" s="17"/>
      <c r="AC57" s="18"/>
      <c r="AD57" s="18"/>
      <c r="AK57" s="8"/>
      <c r="AL57" s="17"/>
    </row>
    <row r="58" spans="1:38" x14ac:dyDescent="0.25">
      <c r="I58" s="1"/>
      <c r="J58" s="2"/>
      <c r="V58" s="22"/>
      <c r="Z58" s="17"/>
      <c r="AC58" s="18"/>
      <c r="AD58" s="18"/>
      <c r="AK58" s="8"/>
      <c r="AL58" s="17"/>
    </row>
    <row r="59" spans="1:38" x14ac:dyDescent="0.25">
      <c r="I59" s="1"/>
      <c r="V59" s="22"/>
      <c r="Z59" s="17"/>
      <c r="AC59" s="18"/>
      <c r="AD59" s="18"/>
    </row>
    <row r="60" spans="1:38" x14ac:dyDescent="0.25">
      <c r="I60" s="1"/>
      <c r="V60" s="22"/>
      <c r="Z60" s="17"/>
    </row>
    <row r="61" spans="1:38" x14ac:dyDescent="0.25">
      <c r="I61" s="1"/>
    </row>
    <row r="62" spans="1:38" x14ac:dyDescent="0.25">
      <c r="I62" s="1"/>
    </row>
  </sheetData>
  <mergeCells count="4">
    <mergeCell ref="A1:G1"/>
    <mergeCell ref="H1:P1"/>
    <mergeCell ref="Q1:Z1"/>
    <mergeCell ref="AA1:AM1"/>
  </mergeCells>
  <phoneticPr fontId="4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FB046-B829-47A8-B76C-C3075035A206}">
  <sheetPr codeName="Feuil2"/>
  <dimension ref="A1:B7"/>
  <sheetViews>
    <sheetView workbookViewId="0">
      <selection activeCell="D14" sqref="D14"/>
    </sheetView>
  </sheetViews>
  <sheetFormatPr baseColWidth="10" defaultRowHeight="15" x14ac:dyDescent="0.25"/>
  <cols>
    <col min="1" max="1" width="25.5703125" customWidth="1"/>
    <col min="2" max="2" width="47" style="15" customWidth="1"/>
  </cols>
  <sheetData>
    <row r="1" spans="1:2" x14ac:dyDescent="0.25">
      <c r="A1" t="s">
        <v>80</v>
      </c>
      <c r="B1" s="15" t="s">
        <v>97</v>
      </c>
    </row>
    <row r="2" spans="1:2" x14ac:dyDescent="0.25">
      <c r="A2" t="s">
        <v>81</v>
      </c>
      <c r="B2" s="15">
        <v>3051</v>
      </c>
    </row>
    <row r="3" spans="1:2" x14ac:dyDescent="0.25">
      <c r="A3" t="s">
        <v>82</v>
      </c>
      <c r="B3" s="18" t="s">
        <v>96</v>
      </c>
    </row>
    <row r="4" spans="1:2" x14ac:dyDescent="0.25">
      <c r="A4" t="s">
        <v>83</v>
      </c>
      <c r="B4" s="15">
        <v>800</v>
      </c>
    </row>
    <row r="6" spans="1:2" x14ac:dyDescent="0.25">
      <c r="A6" t="s">
        <v>84</v>
      </c>
      <c r="B6" s="18" t="s">
        <v>87</v>
      </c>
    </row>
    <row r="7" spans="1:2" x14ac:dyDescent="0.25">
      <c r="A7" t="s">
        <v>85</v>
      </c>
      <c r="B7" s="16" t="s">
        <v>86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A3E58A-1F39-4855-AB6E-6E18A16B84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FILIEN</vt:lpstr>
      <vt:lpstr>PARAMETRES</vt:lpstr>
    </vt:vector>
  </TitlesOfParts>
  <Company>Ivry-sur-Seine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CHEVALIER Marc</dc:creator>
  <cp:lastModifiedBy>ZOUAK Sidali</cp:lastModifiedBy>
  <dcterms:created xsi:type="dcterms:W3CDTF">2024-11-27T18:09:09Z</dcterms:created>
  <dcterms:modified xsi:type="dcterms:W3CDTF">2026-01-26T13:29:36Z</dcterms:modified>
</cp:coreProperties>
</file>